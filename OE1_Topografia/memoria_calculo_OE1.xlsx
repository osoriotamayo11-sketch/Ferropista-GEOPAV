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. Parámetros" sheetId="1" state="visible" r:id="rId1"/>
    <sheet xmlns:r="http://schemas.openxmlformats.org/officeDocument/2006/relationships" name="2. Validación DEM" sheetId="2" state="visible" r:id="rId2"/>
    <sheet xmlns:r="http://schemas.openxmlformats.org/officeDocument/2006/relationships" name="3. Perfil (datos figura)" sheetId="3" state="visible" r:id="rId3"/>
    <sheet xmlns:r="http://schemas.openxmlformats.org/officeDocument/2006/relationships" name="4. Rangos cobertura" sheetId="4" state="visible" r:id="rId4"/>
    <sheet xmlns:r="http://schemas.openxmlformats.org/officeDocument/2006/relationships" name="5. Resultados" sheetId="5" state="visible" r:id="rId5"/>
    <sheet xmlns:r="http://schemas.openxmlformats.org/officeDocument/2006/relationships" name="6. Sensibilidad" sheetId="6" state="visible" r:id="rId6"/>
    <sheet xmlns:r="http://schemas.openxmlformats.org/officeDocument/2006/relationships" name="7. Sensibilidad ventan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"/>
    <numFmt numFmtId="166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sz val="10"/>
    </font>
    <font>
      <name val="Arial"/>
      <charset val="1"/>
      <family val="0"/>
      <i val="1"/>
      <sz val="9"/>
    </font>
    <font>
      <name val="Arial"/>
      <charset val="1"/>
      <family val="0"/>
      <i val="1"/>
      <sz val="8"/>
    </font>
  </fonts>
  <fills count="3">
    <fill>
      <patternFill/>
    </fill>
    <fill>
      <patternFill patternType="gray125"/>
    </fill>
    <fill>
      <patternFill patternType="solid">
        <fgColor rgb="FF2A78D6"/>
        <bgColor rgb="FF0066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4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4" fontId="5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4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4" fontId="5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1" min="1" max="1"/>
    <col width="14" customWidth="1" style="21" min="2" max="2"/>
    <col width="10" customWidth="1" style="21" min="3" max="3"/>
    <col width="8" customWidth="1" style="21" min="4" max="4"/>
    <col width="62" customWidth="1" style="21" min="5" max="5"/>
  </cols>
  <sheetData>
    <row r="1" ht="16.15" customHeight="1" s="22">
      <c r="A1" s="23" t="inlineStr">
        <is>
          <t>PARÁMETROS DE ENTRADA DEL ANÁLISIS</t>
        </is>
      </c>
    </row>
    <row r="2" ht="15" customHeight="1" s="22">
      <c r="A2" s="24" t="inlineStr">
        <is>
          <t>Semillero GEOPAV · Universidad de Ibagué · Paz y Región 2026B · Objetivo específico 1</t>
        </is>
      </c>
    </row>
    <row r="3" ht="15" customHeight="1" s="22">
      <c r="A3" s="24" t="inlineStr">
        <is>
          <t>Toda cifra lleva su marca de origen. Ningún valor sin marca entra al análisis.</t>
        </is>
      </c>
    </row>
    <row r="4" ht="15" customHeight="1" s="22">
      <c r="A4" s="24" t="n"/>
    </row>
    <row r="5" ht="15" customHeight="1" s="22">
      <c r="A5" s="25" t="inlineStr">
        <is>
          <t>Parámetro</t>
        </is>
      </c>
      <c r="B5" s="25" t="inlineStr">
        <is>
          <t>Valor</t>
        </is>
      </c>
      <c r="C5" s="25" t="inlineStr">
        <is>
          <t>Unidad</t>
        </is>
      </c>
      <c r="D5" s="25" t="inlineStr">
        <is>
          <t>Marca</t>
        </is>
      </c>
      <c r="E5" s="25" t="inlineStr">
        <is>
          <t>Fuente / justificación</t>
        </is>
      </c>
    </row>
    <row r="6" ht="15" customHeight="1" s="22">
      <c r="A6" s="24" t="inlineStr">
        <is>
          <t>Cota portal oriental</t>
        </is>
      </c>
      <c r="B6" s="26" t="n">
        <v>950</v>
      </c>
      <c r="C6" s="24" t="inlineStr">
        <is>
          <t>msnm</t>
        </is>
      </c>
      <c r="D6" s="27" t="inlineStr">
        <is>
          <t>F</t>
        </is>
      </c>
      <c r="E6" s="24" t="inlineStr">
        <is>
          <t>Fernández Ordóñez, H.O. (2025), diapositiva 20</t>
        </is>
      </c>
    </row>
    <row r="7" ht="15" customHeight="1" s="22">
      <c r="A7" s="24" t="inlineStr">
        <is>
          <t>Cota portal occidental</t>
        </is>
      </c>
      <c r="B7" s="26" t="n">
        <v>1450</v>
      </c>
      <c r="C7" s="24" t="inlineStr">
        <is>
          <t>msnm</t>
        </is>
      </c>
      <c r="D7" s="27" t="inlineStr">
        <is>
          <t>F</t>
        </is>
      </c>
      <c r="E7" s="24" t="inlineStr">
        <is>
          <t>Fernández Ordóñez, H.O. (2025), diapositiva 20</t>
        </is>
      </c>
    </row>
    <row r="8" ht="15" customHeight="1" s="22">
      <c r="A8" s="24" t="inlineStr">
        <is>
          <t>Cota del paso actual (Alto de La Línea)</t>
        </is>
      </c>
      <c r="B8" s="26" t="n">
        <v>3300</v>
      </c>
      <c r="C8" s="24" t="inlineStr">
        <is>
          <t>msnm</t>
        </is>
      </c>
      <c r="D8" s="27" t="inlineStr">
        <is>
          <t>F</t>
        </is>
      </c>
      <c r="E8" s="24" t="inlineStr">
        <is>
          <t>Fernández Ordóñez, H.O. (2025), diapositiva 20</t>
        </is>
      </c>
    </row>
    <row r="9" ht="15" customHeight="1" s="22">
      <c r="A9" s="24" t="inlineStr">
        <is>
          <t>Longitud total declarada del tramo</t>
        </is>
      </c>
      <c r="B9" s="26" t="n">
        <v>58</v>
      </c>
      <c r="C9" s="24" t="inlineStr">
        <is>
          <t>km</t>
        </is>
      </c>
      <c r="D9" s="27" t="inlineStr">
        <is>
          <t>F</t>
        </is>
      </c>
      <c r="E9" s="24" t="inlineStr">
        <is>
          <t>Fernández Ordóñez, H.O. (2025), diapositiva 20</t>
        </is>
      </c>
    </row>
    <row r="10" ht="15" customHeight="1" s="22">
      <c r="A10" s="24" t="inlineStr">
        <is>
          <t>Longitud declarada del túnel principal</t>
        </is>
      </c>
      <c r="B10" s="26" t="n">
        <v>44</v>
      </c>
      <c r="C10" s="24" t="inlineStr">
        <is>
          <t>km</t>
        </is>
      </c>
      <c r="D10" s="27" t="inlineStr">
        <is>
          <t>F</t>
        </is>
      </c>
      <c r="E10" s="24" t="inlineStr">
        <is>
          <t>Fernández Ordóñez, H.O. (2025), diapositiva 20</t>
        </is>
      </c>
    </row>
    <row r="11" ht="15" customHeight="1" s="22">
      <c r="A11" s="24" t="inlineStr">
        <is>
          <t>Tolerancia de búsqueda de cota de portal</t>
        </is>
      </c>
      <c r="B11" s="26" t="n">
        <v>2</v>
      </c>
      <c r="C11" s="24" t="inlineStr">
        <is>
          <t>m</t>
        </is>
      </c>
      <c r="D11" s="27" t="inlineStr">
        <is>
          <t>H</t>
        </is>
      </c>
      <c r="E11" s="24" t="inlineStr">
        <is>
          <t>Adoptada por el semillero tras comprobar que este parámetro, y no el método, decide la posición de los portales. Ver hoja «6. Sensibilidad». Con 2 m los portales quedan a 1,0 y 1,5 m de las cotas de la ponencia.</t>
        </is>
      </c>
    </row>
    <row r="12" ht="15" customHeight="1" s="22">
      <c r="A12" s="24" t="inlineStr">
        <is>
          <t>Paso de búsqueda en latitud y longitud</t>
        </is>
      </c>
      <c r="B12" s="26" t="n">
        <v>0.002</v>
      </c>
      <c r="C12" s="24" t="inlineStr">
        <is>
          <t>grados</t>
        </is>
      </c>
      <c r="D12" s="27" t="inlineStr">
        <is>
          <t>H</t>
        </is>
      </c>
      <c r="E12" s="24" t="inlineStr">
        <is>
          <t>≈222 m. Compromiso entre resolución y tiempo de cómputo</t>
        </is>
      </c>
    </row>
    <row r="13" ht="15" customHeight="1" s="22">
      <c r="A13" s="24" t="inlineStr">
        <is>
          <t>Ventana de búsqueda del portal oriental</t>
        </is>
      </c>
      <c r="B13" s="26" t="inlineStr">
        <is>
          <t>lat 4,30–4,50 N · lon 75,20–75,00 W</t>
        </is>
      </c>
      <c r="C13" s="24" t="inlineStr">
        <is>
          <t>grados</t>
        </is>
      </c>
      <c r="D13" s="27" t="inlineStr">
        <is>
          <t>H</t>
        </is>
      </c>
      <c r="E13" s="24" t="inlineStr">
        <is>
          <t>RESTRICCIÓN ACTIVA. El portal adoptado cae a ~440 m de su borde occidental: la ventana define el resultado, no solo lo contiene. Se conserva porque codifica que el portal va en la aproximación oriental de Ibagué. Ampliarla lo traslada a Rovira. Ver hoja «7. Sensibilidad ventana».</t>
        </is>
      </c>
    </row>
    <row r="14" ht="15" customHeight="1" s="22">
      <c r="A14" s="24" t="inlineStr">
        <is>
          <t>Ventana de búsqueda del portal occidental</t>
        </is>
      </c>
      <c r="B14" s="26" t="inlineStr">
        <is>
          <t>lat 4,45–4,60 N · lon 75,75–75,60 W</t>
        </is>
      </c>
      <c r="C14" s="24" t="inlineStr">
        <is>
          <t>grados</t>
        </is>
      </c>
      <c r="D14" s="27" t="inlineStr">
        <is>
          <t>H</t>
        </is>
      </c>
      <c r="E14" s="24" t="inlineStr">
        <is>
          <t>No es restrictiva: ampliarla no cambia el resultado. Verificado en la hoja «7. Sensibilidad ventana».</t>
        </is>
      </c>
    </row>
    <row r="15" ht="15" customHeight="1" s="22">
      <c r="A15" s="24" t="inlineStr">
        <is>
          <t>Criterio de pendiente longitudinal máxima</t>
        </is>
      </c>
      <c r="B15" s="26" t="n">
        <v>1.5</v>
      </c>
      <c r="C15" s="24" t="inlineStr">
        <is>
          <t>%</t>
        </is>
      </c>
      <c r="D15" s="27" t="inlineStr">
        <is>
          <t>H</t>
        </is>
      </c>
      <c r="E15" s="24" t="inlineStr">
        <is>
          <t>Adoptado por el semillero para tracción férrea de carga pesada. La ponencia NO declara pendiente</t>
        </is>
      </c>
    </row>
    <row r="16" ht="15" customHeight="1" s="22">
      <c r="A16" s="24" t="inlineStr">
        <is>
          <t>Número de puntos del perfil</t>
        </is>
      </c>
      <c r="B16" s="26" t="n">
        <v>1500</v>
      </c>
      <c r="C16" s="24" t="inlineStr">
        <is>
          <t>puntos</t>
        </is>
      </c>
      <c r="D16" s="27" t="inlineStr">
        <is>
          <t>H</t>
        </is>
      </c>
      <c r="E16" s="24" t="inlineStr">
        <is>
          <t>≈35 m entre puntos, coherente con el píxel del DEM (~30 m)</t>
        </is>
      </c>
    </row>
    <row r="17">
      <c r="A17" s="24" t="inlineStr">
        <is>
          <t>Resolución del DEM</t>
        </is>
      </c>
      <c r="B17" s="26" t="n">
        <v>30</v>
      </c>
      <c r="C17" s="24" t="inlineStr">
        <is>
          <t>m</t>
        </is>
      </c>
      <c r="D17" s="27" t="inlineStr">
        <is>
          <t>F</t>
        </is>
      </c>
      <c r="E17" s="24" t="inlineStr">
        <is>
          <t>Copernicus DEM GLO-30 (ESA/Airbus), especificación del producto</t>
        </is>
      </c>
    </row>
    <row r="18">
      <c r="A18" s="24" t="inlineStr">
        <is>
          <t>Sistema de referencia</t>
        </is>
      </c>
      <c r="B18" s="26" t="n">
        <v>4326</v>
      </c>
      <c r="C18" s="24" t="inlineStr">
        <is>
          <t>EPSG</t>
        </is>
      </c>
      <c r="D18" s="27" t="inlineStr">
        <is>
          <t>F</t>
        </is>
      </c>
      <c r="E18" s="24" t="inlineStr">
        <is>
          <t>WGS 84 geográficas, nativo del producto Copernicus</t>
        </is>
      </c>
    </row>
    <row r="19" ht="15" customHeight="1" s="22"/>
    <row r="20" ht="15" customHeight="1" s="22"/>
    <row r="21" ht="15" customHeight="1" s="22">
      <c r="A21" s="28" t="inlineStr">
        <is>
          <t>LEYENDA DE MARCAS</t>
        </is>
      </c>
    </row>
    <row r="22" ht="15" customHeight="1" s="22">
      <c r="A22" s="29" t="inlineStr">
        <is>
          <t>F</t>
        </is>
      </c>
      <c r="B22" s="24" t="inlineStr">
        <is>
          <t>Dato tomado de la ponencia de referencia, con diapositiva</t>
        </is>
      </c>
    </row>
    <row r="23" ht="15" customHeight="1" s="22">
      <c r="A23" s="29" t="inlineStr">
        <is>
          <t>CP</t>
        </is>
      </c>
      <c r="B23" s="24" t="inlineStr">
        <is>
          <t>Cálculo propio del semillero, reproducible de forma independiente</t>
        </is>
      </c>
    </row>
    <row r="24">
      <c r="A24" s="29" t="inlineStr">
        <is>
          <t>H</t>
        </is>
      </c>
      <c r="B24" s="24" t="inlineStr">
        <is>
          <t>Hipótesis de trabajo adoptada por el semillero. NO es un dato medido</t>
        </is>
      </c>
    </row>
    <row r="25">
      <c r="A25" s="29" t="inlineStr">
        <is>
          <t>DA</t>
        </is>
      </c>
      <c r="B25" s="24" t="inlineStr">
        <is>
          <t>Dato abierto pendiente de consultar en fuente oficial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1" min="1" max="1"/>
    <col width="12" customWidth="1" style="21" min="2" max="3"/>
    <col width="16" customWidth="1" style="21" min="4" max="4"/>
    <col width="20" customWidth="1" style="21" min="5" max="5"/>
    <col width="14" customWidth="1" style="21" min="6" max="6"/>
    <col width="16" customWidth="1" style="21" min="7" max="7"/>
  </cols>
  <sheetData>
    <row r="1" ht="16.15" customHeight="1" s="22">
      <c r="A1" s="23" t="inlineStr">
        <is>
          <t>VALIDACIÓN DEL MODELO DE ELEVACIÓN DIGITAL</t>
        </is>
      </c>
    </row>
    <row r="2" ht="15" customHeight="1" s="22">
      <c r="A2" s="24" t="inlineStr">
        <is>
          <t>Contraste del DEM contra cotas de referencia de cascos urbanos conocidos</t>
        </is>
      </c>
    </row>
    <row r="3" ht="15" customHeight="1" s="22">
      <c r="A3" s="24" t="inlineStr">
        <is>
          <t>Propósito: demostrar que el DEM es apto antes de usarlo. Sin esto, el análisis no es verificable.</t>
        </is>
      </c>
    </row>
    <row r="4" ht="15" customHeight="1" s="22">
      <c r="A4" s="24" t="n"/>
    </row>
    <row r="5" ht="15" customHeight="1" s="22">
      <c r="A5" s="25" t="inlineStr">
        <is>
          <t>Punto de control</t>
        </is>
      </c>
      <c r="B5" s="25" t="inlineStr">
        <is>
          <t>Latitud</t>
        </is>
      </c>
      <c r="C5" s="25" t="inlineStr">
        <is>
          <t>Longitud</t>
        </is>
      </c>
      <c r="D5" s="25" t="inlineStr">
        <is>
          <t>Cota DEM (msnm)</t>
        </is>
      </c>
      <c r="E5" s="25" t="inlineStr">
        <is>
          <t>Cota referencia (msnm)</t>
        </is>
      </c>
      <c r="F5" s="25" t="inlineStr">
        <is>
          <t>Diferencia (m)</t>
        </is>
      </c>
      <c r="G5" s="25" t="inlineStr">
        <is>
          <t>Dif. absoluta (m)</t>
        </is>
      </c>
    </row>
    <row r="6" ht="15" customHeight="1" s="22">
      <c r="A6" s="24" t="inlineStr">
        <is>
          <t>Ibagué</t>
        </is>
      </c>
      <c r="B6" s="30" t="n">
        <v>4.4389</v>
      </c>
      <c r="C6" s="30" t="n">
        <v>-75.23220000000001</v>
      </c>
      <c r="D6" s="31" t="n">
        <v>1228</v>
      </c>
      <c r="E6" s="31" t="n">
        <v>1285</v>
      </c>
      <c r="F6" s="24">
        <f>D6-E6</f>
        <v/>
      </c>
      <c r="G6" s="24">
        <f>ABS(F6)</f>
        <v/>
      </c>
    </row>
    <row r="7" ht="15" customHeight="1" s="22">
      <c r="A7" s="24" t="inlineStr">
        <is>
          <t>Armenia</t>
        </is>
      </c>
      <c r="B7" s="30" t="n">
        <v>4.5339</v>
      </c>
      <c r="C7" s="30" t="n">
        <v>-75.6811</v>
      </c>
      <c r="D7" s="31" t="n">
        <v>1474</v>
      </c>
      <c r="E7" s="31" t="n">
        <v>1483</v>
      </c>
      <c r="F7" s="24">
        <f>D7-E7</f>
        <v/>
      </c>
      <c r="G7" s="24">
        <f>ABS(F7)</f>
        <v/>
      </c>
    </row>
    <row r="8" ht="15" customHeight="1" s="22">
      <c r="A8" s="24" t="inlineStr">
        <is>
          <t>Cajamarca</t>
        </is>
      </c>
      <c r="B8" s="30" t="n">
        <v>4.4267</v>
      </c>
      <c r="C8" s="30" t="n">
        <v>-75.42749999999999</v>
      </c>
      <c r="D8" s="31" t="n">
        <v>1848</v>
      </c>
      <c r="E8" s="31" t="n">
        <v>1813</v>
      </c>
      <c r="F8" s="24">
        <f>D8-E8</f>
        <v/>
      </c>
      <c r="G8" s="24">
        <f>ABS(F8)</f>
        <v/>
      </c>
    </row>
    <row r="9" ht="15" customHeight="1" s="22">
      <c r="A9" s="24" t="inlineStr">
        <is>
          <t>Calarcá</t>
        </is>
      </c>
      <c r="B9" s="30" t="n">
        <v>4.5222</v>
      </c>
      <c r="C9" s="30" t="n">
        <v>-75.6497</v>
      </c>
      <c r="D9" s="31" t="n">
        <v>1497</v>
      </c>
      <c r="E9" s="31" t="n">
        <v>1536</v>
      </c>
      <c r="F9" s="24">
        <f>D9-E9</f>
        <v/>
      </c>
      <c r="G9" s="24">
        <f>ABS(F9)</f>
        <v/>
      </c>
    </row>
    <row r="10"/>
    <row r="11" ht="15" customHeight="1" s="22">
      <c r="E11" s="24" t="inlineStr">
        <is>
          <t>Error medio absoluto (m)</t>
        </is>
      </c>
      <c r="F11" s="32">
        <f>AVERAGE(G6:G9)</f>
        <v/>
      </c>
    </row>
    <row r="12" ht="15" customHeight="1" s="22">
      <c r="E12" s="24" t="inlineStr">
        <is>
          <t>Error máximo absoluto (m)</t>
        </is>
      </c>
      <c r="F12" s="32">
        <f>MAX(G6:G9)</f>
        <v/>
      </c>
    </row>
    <row r="13" ht="15" customHeight="1" s="22">
      <c r="E13" s="24" t="inlineStr">
        <is>
          <t>Sesgo medio (m)</t>
        </is>
      </c>
      <c r="F13" s="32">
        <f>AVERAGE(F6:F9)</f>
        <v/>
      </c>
    </row>
    <row r="14"/>
    <row r="15" ht="15" customHeight="1" s="22">
      <c r="A15" s="33" t="inlineStr">
        <is>
          <t>Conclusión: el error es del orden de un píxel vertical del producto. DEM apto para análisis de prefactibilidad.</t>
        </is>
      </c>
    </row>
    <row r="16" ht="15" customHeight="1" s="22">
      <c r="A16" s="34" t="inlineStr">
        <is>
          <t>Cotas de referencia: valores de altitud de cabecera municipal de uso corriente. NO son levantamientos topográficos [DA].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1" min="1" max="2"/>
    <col width="20" customWidth="1" style="21" min="3" max="4"/>
    <col width="16" customWidth="1" style="21" min="5" max="5"/>
  </cols>
  <sheetData>
    <row r="1" ht="16.15" customHeight="1" s="22">
      <c r="A1" s="23" t="inlineStr">
        <is>
          <t>PERFIL LONGITUDINAL — DATOS DE LA FIGURA</t>
        </is>
      </c>
    </row>
    <row r="2" ht="15" customHeight="1" s="22">
      <c r="A2" s="24" t="inlineStr">
        <is>
          <t>Datos que alimentan perfil_longitudinal.pdf y cobertura_tunel.pdf</t>
        </is>
      </c>
    </row>
    <row r="3" ht="15" customHeight="1" s="22">
      <c r="A3" s="24" t="inlineStr">
        <is>
          <t>Muestreo cada 250 m sobre el alineamiento recto entre portales</t>
        </is>
      </c>
    </row>
    <row r="4" ht="15" customHeight="1" s="22">
      <c r="A4" s="24" t="n"/>
    </row>
    <row r="5" ht="15" customHeight="1" s="22">
      <c r="A5" s="25" t="inlineStr">
        <is>
          <t>PK (m)</t>
        </is>
      </c>
      <c r="B5" s="25" t="inlineStr">
        <is>
          <t>PK (km)</t>
        </is>
      </c>
      <c r="C5" s="25" t="inlineStr">
        <is>
          <t>Cota terreno (msnm)</t>
        </is>
      </c>
      <c r="D5" s="25" t="inlineStr">
        <is>
          <t>Cota rasante (msnm)</t>
        </is>
      </c>
      <c r="E5" s="25" t="inlineStr">
        <is>
          <t>Cobertura (m)</t>
        </is>
      </c>
    </row>
    <row r="6" ht="15" customHeight="1" s="22">
      <c r="A6" s="31" t="n">
        <v>0</v>
      </c>
      <c r="B6" s="35" t="n">
        <v>0</v>
      </c>
      <c r="C6" s="36" t="n">
        <v>951</v>
      </c>
      <c r="D6" s="36" t="n">
        <v>951</v>
      </c>
      <c r="E6" s="36">
        <f>C6-D6</f>
        <v/>
      </c>
    </row>
    <row r="7" ht="15" customHeight="1" s="22">
      <c r="A7" s="31" t="n">
        <v>243.8</v>
      </c>
      <c r="B7" s="35" t="n">
        <v>0.2438</v>
      </c>
      <c r="C7" s="36" t="n">
        <v>962.8</v>
      </c>
      <c r="D7" s="36" t="n">
        <v>953.3</v>
      </c>
      <c r="E7" s="36">
        <f>C7-D7</f>
        <v/>
      </c>
    </row>
    <row r="8" ht="15" customHeight="1" s="22">
      <c r="A8" s="31" t="n">
        <v>487.6</v>
      </c>
      <c r="B8" s="35" t="n">
        <v>0.4876</v>
      </c>
      <c r="C8" s="36" t="n">
        <v>978.7</v>
      </c>
      <c r="D8" s="36" t="n">
        <v>955.6</v>
      </c>
      <c r="E8" s="36">
        <f>C8-D8</f>
        <v/>
      </c>
    </row>
    <row r="9" ht="15" customHeight="1" s="22">
      <c r="A9" s="31" t="n">
        <v>766.3</v>
      </c>
      <c r="B9" s="35" t="n">
        <v>0.7663</v>
      </c>
      <c r="C9" s="36" t="n">
        <v>984.3</v>
      </c>
      <c r="D9" s="36" t="n">
        <v>958.3</v>
      </c>
      <c r="E9" s="36">
        <f>C9-D9</f>
        <v/>
      </c>
    </row>
    <row r="10" ht="15" customHeight="1" s="22">
      <c r="A10" s="31" t="n">
        <v>1010.1</v>
      </c>
      <c r="B10" s="35" t="n">
        <v>1.0101</v>
      </c>
      <c r="C10" s="36" t="n">
        <v>991.6</v>
      </c>
      <c r="D10" s="36" t="n">
        <v>960.6</v>
      </c>
      <c r="E10" s="36">
        <f>C10-D10</f>
        <v/>
      </c>
    </row>
    <row r="11" ht="15" customHeight="1" s="22">
      <c r="A11" s="31" t="n">
        <v>1253.9</v>
      </c>
      <c r="B11" s="35" t="n">
        <v>1.2539</v>
      </c>
      <c r="C11" s="36" t="n">
        <v>1010.2</v>
      </c>
      <c r="D11" s="36" t="n">
        <v>963</v>
      </c>
      <c r="E11" s="36">
        <f>C11-D11</f>
        <v/>
      </c>
    </row>
    <row r="12" ht="15" customHeight="1" s="22">
      <c r="A12" s="31" t="n">
        <v>1497.7</v>
      </c>
      <c r="B12" s="35" t="n">
        <v>1.4977</v>
      </c>
      <c r="C12" s="36" t="n">
        <v>1100.5</v>
      </c>
      <c r="D12" s="36" t="n">
        <v>965.3</v>
      </c>
      <c r="E12" s="36">
        <f>C12-D12</f>
        <v/>
      </c>
    </row>
    <row r="13" ht="15" customHeight="1" s="22">
      <c r="A13" s="31" t="n">
        <v>1741.6</v>
      </c>
      <c r="B13" s="35" t="n">
        <v>1.7416</v>
      </c>
      <c r="C13" s="36" t="n">
        <v>1129.8</v>
      </c>
      <c r="D13" s="36" t="n">
        <v>967.6</v>
      </c>
      <c r="E13" s="36">
        <f>C13-D13</f>
        <v/>
      </c>
    </row>
    <row r="14" ht="15" customHeight="1" s="22">
      <c r="A14" s="31" t="n">
        <v>1985.4</v>
      </c>
      <c r="B14" s="35" t="n">
        <v>1.9854</v>
      </c>
      <c r="C14" s="36" t="n">
        <v>1131.2</v>
      </c>
      <c r="D14" s="36" t="n">
        <v>970</v>
      </c>
      <c r="E14" s="36">
        <f>C14-D14</f>
        <v/>
      </c>
    </row>
    <row r="15" ht="15" customHeight="1" s="22">
      <c r="A15" s="31" t="n">
        <v>2264</v>
      </c>
      <c r="B15" s="35" t="n">
        <v>2.264</v>
      </c>
      <c r="C15" s="36" t="n">
        <v>1147.4</v>
      </c>
      <c r="D15" s="36" t="n">
        <v>972.7</v>
      </c>
      <c r="E15" s="36">
        <f>C15-D15</f>
        <v/>
      </c>
    </row>
    <row r="16" ht="15" customHeight="1" s="22">
      <c r="A16" s="31" t="n">
        <v>2507.8</v>
      </c>
      <c r="B16" s="35" t="n">
        <v>2.5078</v>
      </c>
      <c r="C16" s="36" t="n">
        <v>1197.4</v>
      </c>
      <c r="D16" s="36" t="n">
        <v>975</v>
      </c>
      <c r="E16" s="36">
        <f>C16-D16</f>
        <v/>
      </c>
    </row>
    <row r="17" ht="15" customHeight="1" s="22">
      <c r="A17" s="31" t="n">
        <v>2751.7</v>
      </c>
      <c r="B17" s="35" t="n">
        <v>2.7517</v>
      </c>
      <c r="C17" s="36" t="n">
        <v>1188.8</v>
      </c>
      <c r="D17" s="36" t="n">
        <v>977.3</v>
      </c>
      <c r="E17" s="36">
        <f>C17-D17</f>
        <v/>
      </c>
    </row>
    <row r="18" ht="15" customHeight="1" s="22">
      <c r="A18" s="31" t="n">
        <v>2995.5</v>
      </c>
      <c r="B18" s="35" t="n">
        <v>2.9955</v>
      </c>
      <c r="C18" s="36" t="n">
        <v>1299.8</v>
      </c>
      <c r="D18" s="36" t="n">
        <v>979.7</v>
      </c>
      <c r="E18" s="36">
        <f>C18-D18</f>
        <v/>
      </c>
    </row>
    <row r="19" ht="15" customHeight="1" s="22">
      <c r="A19" s="31" t="n">
        <v>3239.3</v>
      </c>
      <c r="B19" s="35" t="n">
        <v>3.2393</v>
      </c>
      <c r="C19" s="36" t="n">
        <v>1293.9</v>
      </c>
      <c r="D19" s="36" t="n">
        <v>982</v>
      </c>
      <c r="E19" s="36">
        <f>C19-D19</f>
        <v/>
      </c>
    </row>
    <row r="20" ht="15" customHeight="1" s="22">
      <c r="A20" s="31" t="n">
        <v>3483.1</v>
      </c>
      <c r="B20" s="35" t="n">
        <v>3.4831</v>
      </c>
      <c r="C20" s="36" t="n">
        <v>1176.9</v>
      </c>
      <c r="D20" s="36" t="n">
        <v>984.3</v>
      </c>
      <c r="E20" s="36">
        <f>C20-D20</f>
        <v/>
      </c>
    </row>
    <row r="21" ht="15" customHeight="1" s="22">
      <c r="A21" s="31" t="n">
        <v>3761.8</v>
      </c>
      <c r="B21" s="35" t="n">
        <v>3.7618</v>
      </c>
      <c r="C21" s="36" t="n">
        <v>1195.7</v>
      </c>
      <c r="D21" s="36" t="n">
        <v>987</v>
      </c>
      <c r="E21" s="36">
        <f>C21-D21</f>
        <v/>
      </c>
    </row>
    <row r="22" ht="15" customHeight="1" s="22">
      <c r="A22" s="31" t="n">
        <v>4005.6</v>
      </c>
      <c r="B22" s="35" t="n">
        <v>4.0056</v>
      </c>
      <c r="C22" s="36" t="n">
        <v>1297.5</v>
      </c>
      <c r="D22" s="36" t="n">
        <v>989.4</v>
      </c>
      <c r="E22" s="36">
        <f>C22-D22</f>
        <v/>
      </c>
    </row>
    <row r="23" ht="15" customHeight="1" s="22">
      <c r="A23" s="31" t="n">
        <v>4249.4</v>
      </c>
      <c r="B23" s="35" t="n">
        <v>4.2494</v>
      </c>
      <c r="C23" s="36" t="n">
        <v>1281.3</v>
      </c>
      <c r="D23" s="36" t="n">
        <v>991.7</v>
      </c>
      <c r="E23" s="36">
        <f>C23-D23</f>
        <v/>
      </c>
    </row>
    <row r="24" ht="15" customHeight="1" s="22">
      <c r="A24" s="31" t="n">
        <v>4493.2</v>
      </c>
      <c r="B24" s="35" t="n">
        <v>4.4932</v>
      </c>
      <c r="C24" s="36" t="n">
        <v>1426.5</v>
      </c>
      <c r="D24" s="36" t="n">
        <v>994</v>
      </c>
      <c r="E24" s="36">
        <f>C24-D24</f>
        <v/>
      </c>
    </row>
    <row r="25" ht="15" customHeight="1" s="22">
      <c r="A25" s="31" t="n">
        <v>4737</v>
      </c>
      <c r="B25" s="35" t="n">
        <v>4.737</v>
      </c>
      <c r="C25" s="36" t="n">
        <v>1451.7</v>
      </c>
      <c r="D25" s="36" t="n">
        <v>996.4</v>
      </c>
      <c r="E25" s="36">
        <f>C25-D25</f>
        <v/>
      </c>
    </row>
    <row r="26" ht="15" customHeight="1" s="22">
      <c r="A26" s="31" t="n">
        <v>5015.7</v>
      </c>
      <c r="B26" s="35" t="n">
        <v>5.0157</v>
      </c>
      <c r="C26" s="36" t="n">
        <v>1552.7</v>
      </c>
      <c r="D26" s="36" t="n">
        <v>999</v>
      </c>
      <c r="E26" s="36">
        <f>C26-D26</f>
        <v/>
      </c>
    </row>
    <row r="27" ht="15" customHeight="1" s="22">
      <c r="A27" s="31" t="n">
        <v>5259.5</v>
      </c>
      <c r="B27" s="35" t="n">
        <v>5.2595</v>
      </c>
      <c r="C27" s="36" t="n">
        <v>1640.8</v>
      </c>
      <c r="D27" s="36" t="n">
        <v>1001.4</v>
      </c>
      <c r="E27" s="36">
        <f>C27-D27</f>
        <v/>
      </c>
    </row>
    <row r="28" ht="15" customHeight="1" s="22">
      <c r="A28" s="31" t="n">
        <v>5503.3</v>
      </c>
      <c r="B28" s="35" t="n">
        <v>5.5033</v>
      </c>
      <c r="C28" s="36" t="n">
        <v>1738.9</v>
      </c>
      <c r="D28" s="36" t="n">
        <v>1003.7</v>
      </c>
      <c r="E28" s="36">
        <f>C28-D28</f>
        <v/>
      </c>
    </row>
    <row r="29" ht="15" customHeight="1" s="22">
      <c r="A29" s="31" t="n">
        <v>5747.1</v>
      </c>
      <c r="B29" s="35" t="n">
        <v>5.7471</v>
      </c>
      <c r="C29" s="36" t="n">
        <v>1677.9</v>
      </c>
      <c r="D29" s="36" t="n">
        <v>1006</v>
      </c>
      <c r="E29" s="36">
        <f>C29-D29</f>
        <v/>
      </c>
    </row>
    <row r="30" ht="15" customHeight="1" s="22">
      <c r="A30" s="31" t="n">
        <v>5990.9</v>
      </c>
      <c r="B30" s="35" t="n">
        <v>5.9909</v>
      </c>
      <c r="C30" s="36" t="n">
        <v>1539.6</v>
      </c>
      <c r="D30" s="36" t="n">
        <v>1008.4</v>
      </c>
      <c r="E30" s="36">
        <f>C30-D30</f>
        <v/>
      </c>
    </row>
    <row r="31" ht="15" customHeight="1" s="22">
      <c r="A31" s="31" t="n">
        <v>6234.8</v>
      </c>
      <c r="B31" s="35" t="n">
        <v>6.2348</v>
      </c>
      <c r="C31" s="36" t="n">
        <v>1567</v>
      </c>
      <c r="D31" s="36" t="n">
        <v>1010.7</v>
      </c>
      <c r="E31" s="36">
        <f>C31-D31</f>
        <v/>
      </c>
    </row>
    <row r="32" ht="15" customHeight="1" s="22">
      <c r="A32" s="31" t="n">
        <v>6513.4</v>
      </c>
      <c r="B32" s="35" t="n">
        <v>6.5134</v>
      </c>
      <c r="C32" s="36" t="n">
        <v>1518.9</v>
      </c>
      <c r="D32" s="36" t="n">
        <v>1013.4</v>
      </c>
      <c r="E32" s="36">
        <f>C32-D32</f>
        <v/>
      </c>
    </row>
    <row r="33" ht="15" customHeight="1" s="22">
      <c r="A33" s="31" t="n">
        <v>6757.2</v>
      </c>
      <c r="B33" s="35" t="n">
        <v>6.7572</v>
      </c>
      <c r="C33" s="36" t="n">
        <v>1591.9</v>
      </c>
      <c r="D33" s="36" t="n">
        <v>1015.7</v>
      </c>
      <c r="E33" s="36">
        <f>C33-D33</f>
        <v/>
      </c>
    </row>
    <row r="34" ht="15" customHeight="1" s="22">
      <c r="A34" s="31" t="n">
        <v>7001.1</v>
      </c>
      <c r="B34" s="35" t="n">
        <v>7.0011</v>
      </c>
      <c r="C34" s="36" t="n">
        <v>1477.7</v>
      </c>
      <c r="D34" s="36" t="n">
        <v>1018.1</v>
      </c>
      <c r="E34" s="36">
        <f>C34-D34</f>
        <v/>
      </c>
    </row>
    <row r="35" ht="15" customHeight="1" s="22">
      <c r="A35" s="31" t="n">
        <v>7244.9</v>
      </c>
      <c r="B35" s="35" t="n">
        <v>7.2449</v>
      </c>
      <c r="C35" s="36" t="n">
        <v>1506.7</v>
      </c>
      <c r="D35" s="36" t="n">
        <v>1020.4</v>
      </c>
      <c r="E35" s="36">
        <f>C35-D35</f>
        <v/>
      </c>
    </row>
    <row r="36" ht="15" customHeight="1" s="22">
      <c r="A36" s="31" t="n">
        <v>7488.7</v>
      </c>
      <c r="B36" s="35" t="n">
        <v>7.4887</v>
      </c>
      <c r="C36" s="36" t="n">
        <v>1648.6</v>
      </c>
      <c r="D36" s="36" t="n">
        <v>1022.7</v>
      </c>
      <c r="E36" s="36">
        <f>C36-D36</f>
        <v/>
      </c>
    </row>
    <row r="37" ht="15" customHeight="1" s="22">
      <c r="A37" s="31" t="n">
        <v>7767.3</v>
      </c>
      <c r="B37" s="35" t="n">
        <v>7.7673</v>
      </c>
      <c r="C37" s="36" t="n">
        <v>1559</v>
      </c>
      <c r="D37" s="36" t="n">
        <v>1025.4</v>
      </c>
      <c r="E37" s="36">
        <f>C37-D37</f>
        <v/>
      </c>
    </row>
    <row r="38" ht="15" customHeight="1" s="22">
      <c r="A38" s="31" t="n">
        <v>8011.2</v>
      </c>
      <c r="B38" s="35" t="n">
        <v>8.011200000000001</v>
      </c>
      <c r="C38" s="36" t="n">
        <v>1481</v>
      </c>
      <c r="D38" s="36" t="n">
        <v>1027.8</v>
      </c>
      <c r="E38" s="36">
        <f>C38-D38</f>
        <v/>
      </c>
    </row>
    <row r="39" ht="15" customHeight="1" s="22">
      <c r="A39" s="31" t="n">
        <v>8255</v>
      </c>
      <c r="B39" s="35" t="n">
        <v>8.255000000000001</v>
      </c>
      <c r="C39" s="36" t="n">
        <v>1428.3</v>
      </c>
      <c r="D39" s="36" t="n">
        <v>1030.1</v>
      </c>
      <c r="E39" s="36">
        <f>C39-D39</f>
        <v/>
      </c>
    </row>
    <row r="40" ht="15" customHeight="1" s="22">
      <c r="A40" s="31" t="n">
        <v>8498.799999999999</v>
      </c>
      <c r="B40" s="35" t="n">
        <v>8.498799999999999</v>
      </c>
      <c r="C40" s="36" t="n">
        <v>1572.4</v>
      </c>
      <c r="D40" s="36" t="n">
        <v>1032.4</v>
      </c>
      <c r="E40" s="36">
        <f>C40-D40</f>
        <v/>
      </c>
    </row>
    <row r="41" ht="15" customHeight="1" s="22">
      <c r="A41" s="31" t="n">
        <v>8742.6</v>
      </c>
      <c r="B41" s="35" t="n">
        <v>8.742599999999999</v>
      </c>
      <c r="C41" s="36" t="n">
        <v>1605.4</v>
      </c>
      <c r="D41" s="36" t="n">
        <v>1034.8</v>
      </c>
      <c r="E41" s="36">
        <f>C41-D41</f>
        <v/>
      </c>
    </row>
    <row r="42" ht="15" customHeight="1" s="22">
      <c r="A42" s="31" t="n">
        <v>8986.4</v>
      </c>
      <c r="B42" s="35" t="n">
        <v>8.9864</v>
      </c>
      <c r="C42" s="36" t="n">
        <v>1581.7</v>
      </c>
      <c r="D42" s="36" t="n">
        <v>1037.1</v>
      </c>
      <c r="E42" s="36">
        <f>C42-D42</f>
        <v/>
      </c>
    </row>
    <row r="43" ht="15" customHeight="1" s="22">
      <c r="A43" s="31" t="n">
        <v>9265.1</v>
      </c>
      <c r="B43" s="35" t="n">
        <v>9.2651</v>
      </c>
      <c r="C43" s="36" t="n">
        <v>1565.1</v>
      </c>
      <c r="D43" s="36" t="n">
        <v>1039.8</v>
      </c>
      <c r="E43" s="36">
        <f>C43-D43</f>
        <v/>
      </c>
    </row>
    <row r="44" ht="15" customHeight="1" s="22">
      <c r="A44" s="31" t="n">
        <v>9508.9</v>
      </c>
      <c r="B44" s="35" t="n">
        <v>9.508900000000001</v>
      </c>
      <c r="C44" s="36" t="n">
        <v>1459</v>
      </c>
      <c r="D44" s="36" t="n">
        <v>1042.1</v>
      </c>
      <c r="E44" s="36">
        <f>C44-D44</f>
        <v/>
      </c>
    </row>
    <row r="45" ht="15" customHeight="1" s="22">
      <c r="A45" s="31" t="n">
        <v>9752.700000000001</v>
      </c>
      <c r="B45" s="35" t="n">
        <v>9.752700000000001</v>
      </c>
      <c r="C45" s="36" t="n">
        <v>1460.9</v>
      </c>
      <c r="D45" s="36" t="n">
        <v>1044.4</v>
      </c>
      <c r="E45" s="36">
        <f>C45-D45</f>
        <v/>
      </c>
    </row>
    <row r="46" ht="15" customHeight="1" s="22">
      <c r="A46" s="31" t="n">
        <v>9996.5</v>
      </c>
      <c r="B46" s="35" t="n">
        <v>9.996499999999999</v>
      </c>
      <c r="C46" s="36" t="n">
        <v>1545.6</v>
      </c>
      <c r="D46" s="36" t="n">
        <v>1046.8</v>
      </c>
      <c r="E46" s="36">
        <f>C46-D46</f>
        <v/>
      </c>
    </row>
    <row r="47" ht="15" customHeight="1" s="22">
      <c r="A47" s="31" t="n">
        <v>10240.3</v>
      </c>
      <c r="B47" s="35" t="n">
        <v>10.2403</v>
      </c>
      <c r="C47" s="36" t="n">
        <v>1461.6</v>
      </c>
      <c r="D47" s="36" t="n">
        <v>1049.1</v>
      </c>
      <c r="E47" s="36">
        <f>C47-D47</f>
        <v/>
      </c>
    </row>
    <row r="48" ht="15" customHeight="1" s="22">
      <c r="A48" s="31" t="n">
        <v>10484.2</v>
      </c>
      <c r="B48" s="35" t="n">
        <v>10.4842</v>
      </c>
      <c r="C48" s="36" t="n">
        <v>1458.7</v>
      </c>
      <c r="D48" s="36" t="n">
        <v>1051.5</v>
      </c>
      <c r="E48" s="36">
        <f>C48-D48</f>
        <v/>
      </c>
    </row>
    <row r="49" ht="15" customHeight="1" s="22">
      <c r="A49" s="31" t="n">
        <v>10762.8</v>
      </c>
      <c r="B49" s="35" t="n">
        <v>10.7628</v>
      </c>
      <c r="C49" s="36" t="n">
        <v>1306.6</v>
      </c>
      <c r="D49" s="36" t="n">
        <v>1054.1</v>
      </c>
      <c r="E49" s="36">
        <f>C49-D49</f>
        <v/>
      </c>
    </row>
    <row r="50" ht="15" customHeight="1" s="22">
      <c r="A50" s="31" t="n">
        <v>11006.6</v>
      </c>
      <c r="B50" s="35" t="n">
        <v>11.0066</v>
      </c>
      <c r="C50" s="36" t="n">
        <v>1129.9</v>
      </c>
      <c r="D50" s="36" t="n">
        <v>1056.5</v>
      </c>
      <c r="E50" s="36">
        <f>C50-D50</f>
        <v/>
      </c>
    </row>
    <row r="51" ht="15" customHeight="1" s="22">
      <c r="A51" s="31" t="n">
        <v>11250.4</v>
      </c>
      <c r="B51" s="35" t="n">
        <v>11.2504</v>
      </c>
      <c r="C51" s="36" t="n">
        <v>1240.3</v>
      </c>
      <c r="D51" s="36" t="n">
        <v>1058.8</v>
      </c>
      <c r="E51" s="36">
        <f>C51-D51</f>
        <v/>
      </c>
    </row>
    <row r="52" ht="15" customHeight="1" s="22">
      <c r="A52" s="31" t="n">
        <v>11494.3</v>
      </c>
      <c r="B52" s="35" t="n">
        <v>11.4943</v>
      </c>
      <c r="C52" s="36" t="n">
        <v>1292</v>
      </c>
      <c r="D52" s="36" t="n">
        <v>1061.1</v>
      </c>
      <c r="E52" s="36">
        <f>C52-D52</f>
        <v/>
      </c>
    </row>
    <row r="53" ht="15" customHeight="1" s="22">
      <c r="A53" s="31" t="n">
        <v>11738.1</v>
      </c>
      <c r="B53" s="35" t="n">
        <v>11.7381</v>
      </c>
      <c r="C53" s="36" t="n">
        <v>1293.3</v>
      </c>
      <c r="D53" s="36" t="n">
        <v>1063.5</v>
      </c>
      <c r="E53" s="36">
        <f>C53-D53</f>
        <v/>
      </c>
    </row>
    <row r="54" ht="15" customHeight="1" s="22">
      <c r="A54" s="31" t="n">
        <v>12016.7</v>
      </c>
      <c r="B54" s="35" t="n">
        <v>12.0167</v>
      </c>
      <c r="C54" s="36" t="n">
        <v>1398.7</v>
      </c>
      <c r="D54" s="36" t="n">
        <v>1066.2</v>
      </c>
      <c r="E54" s="36">
        <f>C54-D54</f>
        <v/>
      </c>
    </row>
    <row r="55" ht="15" customHeight="1" s="22">
      <c r="A55" s="31" t="n">
        <v>12260.5</v>
      </c>
      <c r="B55" s="35" t="n">
        <v>12.2605</v>
      </c>
      <c r="C55" s="36" t="n">
        <v>1424.1</v>
      </c>
      <c r="D55" s="36" t="n">
        <v>1068.5</v>
      </c>
      <c r="E55" s="36">
        <f>C55-D55</f>
        <v/>
      </c>
    </row>
    <row r="56" ht="15" customHeight="1" s="22">
      <c r="A56" s="31" t="n">
        <v>12504.4</v>
      </c>
      <c r="B56" s="35" t="n">
        <v>12.5044</v>
      </c>
      <c r="C56" s="36" t="n">
        <v>1345.2</v>
      </c>
      <c r="D56" s="36" t="n">
        <v>1070.8</v>
      </c>
      <c r="E56" s="36">
        <f>C56-D56</f>
        <v/>
      </c>
    </row>
    <row r="57" ht="15" customHeight="1" s="22">
      <c r="A57" s="31" t="n">
        <v>12748.2</v>
      </c>
      <c r="B57" s="35" t="n">
        <v>12.7482</v>
      </c>
      <c r="C57" s="36" t="n">
        <v>1388.9</v>
      </c>
      <c r="D57" s="36" t="n">
        <v>1073.2</v>
      </c>
      <c r="E57" s="36">
        <f>C57-D57</f>
        <v/>
      </c>
    </row>
    <row r="58" ht="15" customHeight="1" s="22">
      <c r="A58" s="31" t="n">
        <v>12992</v>
      </c>
      <c r="B58" s="35" t="n">
        <v>12.992</v>
      </c>
      <c r="C58" s="36" t="n">
        <v>1313.2</v>
      </c>
      <c r="D58" s="36" t="n">
        <v>1075.5</v>
      </c>
      <c r="E58" s="36">
        <f>C58-D58</f>
        <v/>
      </c>
    </row>
    <row r="59" ht="15" customHeight="1" s="22">
      <c r="A59" s="31" t="n">
        <v>13235.8</v>
      </c>
      <c r="B59" s="35" t="n">
        <v>13.2358</v>
      </c>
      <c r="C59" s="36" t="n">
        <v>1261.7</v>
      </c>
      <c r="D59" s="36" t="n">
        <v>1077.8</v>
      </c>
      <c r="E59" s="36">
        <f>C59-D59</f>
        <v/>
      </c>
    </row>
    <row r="60" ht="15" customHeight="1" s="22">
      <c r="A60" s="31" t="n">
        <v>13514.5</v>
      </c>
      <c r="B60" s="35" t="n">
        <v>13.5145</v>
      </c>
      <c r="C60" s="36" t="n">
        <v>1390.6</v>
      </c>
      <c r="D60" s="36" t="n">
        <v>1080.5</v>
      </c>
      <c r="E60" s="36">
        <f>C60-D60</f>
        <v/>
      </c>
    </row>
    <row r="61" ht="15" customHeight="1" s="22">
      <c r="A61" s="31" t="n">
        <v>13758.3</v>
      </c>
      <c r="B61" s="35" t="n">
        <v>13.7583</v>
      </c>
      <c r="C61" s="36" t="n">
        <v>1489.1</v>
      </c>
      <c r="D61" s="36" t="n">
        <v>1082.8</v>
      </c>
      <c r="E61" s="36">
        <f>C61-D61</f>
        <v/>
      </c>
    </row>
    <row r="62" ht="15" customHeight="1" s="22">
      <c r="A62" s="31" t="n">
        <v>14002.1</v>
      </c>
      <c r="B62" s="35" t="n">
        <v>14.0021</v>
      </c>
      <c r="C62" s="36" t="n">
        <v>1502.5</v>
      </c>
      <c r="D62" s="36" t="n">
        <v>1085.2</v>
      </c>
      <c r="E62" s="36">
        <f>C62-D62</f>
        <v/>
      </c>
    </row>
    <row r="63" ht="15" customHeight="1" s="22">
      <c r="A63" s="31" t="n">
        <v>14245.9</v>
      </c>
      <c r="B63" s="35" t="n">
        <v>14.2459</v>
      </c>
      <c r="C63" s="36" t="n">
        <v>1554</v>
      </c>
      <c r="D63" s="36" t="n">
        <v>1087.5</v>
      </c>
      <c r="E63" s="36">
        <f>C63-D63</f>
        <v/>
      </c>
    </row>
    <row r="64" ht="15" customHeight="1" s="22">
      <c r="A64" s="31" t="n">
        <v>14489.7</v>
      </c>
      <c r="B64" s="35" t="n">
        <v>14.4897</v>
      </c>
      <c r="C64" s="36" t="n">
        <v>1545.1</v>
      </c>
      <c r="D64" s="36" t="n">
        <v>1089.9</v>
      </c>
      <c r="E64" s="36">
        <f>C64-D64</f>
        <v/>
      </c>
    </row>
    <row r="65" ht="15" customHeight="1" s="22">
      <c r="A65" s="31" t="n">
        <v>14733.6</v>
      </c>
      <c r="B65" s="35" t="n">
        <v>14.7336</v>
      </c>
      <c r="C65" s="36" t="n">
        <v>1631.4</v>
      </c>
      <c r="D65" s="36" t="n">
        <v>1092.2</v>
      </c>
      <c r="E65" s="36">
        <f>C65-D65</f>
        <v/>
      </c>
    </row>
    <row r="66" ht="15" customHeight="1" s="22">
      <c r="A66" s="31" t="n">
        <v>15012.2</v>
      </c>
      <c r="B66" s="35" t="n">
        <v>15.0122</v>
      </c>
      <c r="C66" s="36" t="n">
        <v>1731.5</v>
      </c>
      <c r="D66" s="36" t="n">
        <v>1094.9</v>
      </c>
      <c r="E66" s="36">
        <f>C66-D66</f>
        <v/>
      </c>
    </row>
    <row r="67" ht="15" customHeight="1" s="22">
      <c r="A67" s="31" t="n">
        <v>15256</v>
      </c>
      <c r="B67" s="35" t="n">
        <v>15.256</v>
      </c>
      <c r="C67" s="36" t="n">
        <v>1778.7</v>
      </c>
      <c r="D67" s="36" t="n">
        <v>1097.2</v>
      </c>
      <c r="E67" s="36">
        <f>C67-D67</f>
        <v/>
      </c>
    </row>
    <row r="68" ht="15" customHeight="1" s="22">
      <c r="A68" s="31" t="n">
        <v>15499.8</v>
      </c>
      <c r="B68" s="35" t="n">
        <v>15.4998</v>
      </c>
      <c r="C68" s="36" t="n">
        <v>1871.8</v>
      </c>
      <c r="D68" s="36" t="n">
        <v>1099.5</v>
      </c>
      <c r="E68" s="36">
        <f>C68-D68</f>
        <v/>
      </c>
    </row>
    <row r="69" ht="15" customHeight="1" s="22">
      <c r="A69" s="31" t="n">
        <v>15743.7</v>
      </c>
      <c r="B69" s="35" t="n">
        <v>15.7437</v>
      </c>
      <c r="C69" s="36" t="n">
        <v>1923.9</v>
      </c>
      <c r="D69" s="36" t="n">
        <v>1101.9</v>
      </c>
      <c r="E69" s="36">
        <f>C69-D69</f>
        <v/>
      </c>
    </row>
    <row r="70" ht="15" customHeight="1" s="22">
      <c r="A70" s="31" t="n">
        <v>15987.5</v>
      </c>
      <c r="B70" s="35" t="n">
        <v>15.9875</v>
      </c>
      <c r="C70" s="36" t="n">
        <v>1874.8</v>
      </c>
      <c r="D70" s="36" t="n">
        <v>1104.2</v>
      </c>
      <c r="E70" s="36">
        <f>C70-D70</f>
        <v/>
      </c>
    </row>
    <row r="71" ht="15" customHeight="1" s="22">
      <c r="A71" s="31" t="n">
        <v>16266.1</v>
      </c>
      <c r="B71" s="35" t="n">
        <v>16.2661</v>
      </c>
      <c r="C71" s="36" t="n">
        <v>1904.8</v>
      </c>
      <c r="D71" s="36" t="n">
        <v>1106.9</v>
      </c>
      <c r="E71" s="36">
        <f>C71-D71</f>
        <v/>
      </c>
    </row>
    <row r="72" ht="15" customHeight="1" s="22">
      <c r="A72" s="31" t="n">
        <v>16509.9</v>
      </c>
      <c r="B72" s="35" t="n">
        <v>16.5099</v>
      </c>
      <c r="C72" s="36" t="n">
        <v>1928.4</v>
      </c>
      <c r="D72" s="36" t="n">
        <v>1109.2</v>
      </c>
      <c r="E72" s="36">
        <f>C72-D72</f>
        <v/>
      </c>
    </row>
    <row r="73" ht="15" customHeight="1" s="22">
      <c r="A73" s="31" t="n">
        <v>16753.8</v>
      </c>
      <c r="B73" s="35" t="n">
        <v>16.7538</v>
      </c>
      <c r="C73" s="36" t="n">
        <v>1998.5</v>
      </c>
      <c r="D73" s="36" t="n">
        <v>1111.6</v>
      </c>
      <c r="E73" s="36">
        <f>C73-D73</f>
        <v/>
      </c>
    </row>
    <row r="74" ht="15" customHeight="1" s="22">
      <c r="A74" s="31" t="n">
        <v>16997.6</v>
      </c>
      <c r="B74" s="35" t="n">
        <v>16.9976</v>
      </c>
      <c r="C74" s="36" t="n">
        <v>2000.9</v>
      </c>
      <c r="D74" s="36" t="n">
        <v>1113.9</v>
      </c>
      <c r="E74" s="36">
        <f>C74-D74</f>
        <v/>
      </c>
    </row>
    <row r="75" ht="15" customHeight="1" s="22">
      <c r="A75" s="31" t="n">
        <v>17241.4</v>
      </c>
      <c r="B75" s="35" t="n">
        <v>17.2414</v>
      </c>
      <c r="C75" s="36" t="n">
        <v>2018.9</v>
      </c>
      <c r="D75" s="36" t="n">
        <v>1116.2</v>
      </c>
      <c r="E75" s="36">
        <f>C75-D75</f>
        <v/>
      </c>
    </row>
    <row r="76" ht="15" customHeight="1" s="22">
      <c r="A76" s="31" t="n">
        <v>17485.2</v>
      </c>
      <c r="B76" s="35" t="n">
        <v>17.4852</v>
      </c>
      <c r="C76" s="36" t="n">
        <v>2077.8</v>
      </c>
      <c r="D76" s="36" t="n">
        <v>1118.6</v>
      </c>
      <c r="E76" s="36">
        <f>C76-D76</f>
        <v/>
      </c>
    </row>
    <row r="77" ht="15" customHeight="1" s="22">
      <c r="A77" s="31" t="n">
        <v>17763.9</v>
      </c>
      <c r="B77" s="35" t="n">
        <v>17.7639</v>
      </c>
      <c r="C77" s="36" t="n">
        <v>2096</v>
      </c>
      <c r="D77" s="36" t="n">
        <v>1121.2</v>
      </c>
      <c r="E77" s="36">
        <f>C77-D77</f>
        <v/>
      </c>
    </row>
    <row r="78" ht="15" customHeight="1" s="22">
      <c r="A78" s="31" t="n">
        <v>18007.7</v>
      </c>
      <c r="B78" s="35" t="n">
        <v>18.0077</v>
      </c>
      <c r="C78" s="36" t="n">
        <v>2082.7</v>
      </c>
      <c r="D78" s="36" t="n">
        <v>1123.6</v>
      </c>
      <c r="E78" s="36">
        <f>C78-D78</f>
        <v/>
      </c>
    </row>
    <row r="79" ht="15" customHeight="1" s="22">
      <c r="A79" s="31" t="n">
        <v>18251.5</v>
      </c>
      <c r="B79" s="35" t="n">
        <v>18.2515</v>
      </c>
      <c r="C79" s="36" t="n">
        <v>1966.7</v>
      </c>
      <c r="D79" s="36" t="n">
        <v>1125.9</v>
      </c>
      <c r="E79" s="36">
        <f>C79-D79</f>
        <v/>
      </c>
    </row>
    <row r="80" ht="15" customHeight="1" s="22">
      <c r="A80" s="31" t="n">
        <v>18495.3</v>
      </c>
      <c r="B80" s="35" t="n">
        <v>18.4953</v>
      </c>
      <c r="C80" s="36" t="n">
        <v>1813.2</v>
      </c>
      <c r="D80" s="36" t="n">
        <v>1128.3</v>
      </c>
      <c r="E80" s="36">
        <f>C80-D80</f>
        <v/>
      </c>
    </row>
    <row r="81" ht="15" customHeight="1" s="22">
      <c r="A81" s="31" t="n">
        <v>18739.1</v>
      </c>
      <c r="B81" s="35" t="n">
        <v>18.7391</v>
      </c>
      <c r="C81" s="36" t="n">
        <v>1676.2</v>
      </c>
      <c r="D81" s="36" t="n">
        <v>1130.6</v>
      </c>
      <c r="E81" s="36">
        <f>C81-D81</f>
        <v/>
      </c>
    </row>
    <row r="82" ht="15" customHeight="1" s="22">
      <c r="A82" s="31" t="n">
        <v>18982.9</v>
      </c>
      <c r="B82" s="35" t="n">
        <v>18.9829</v>
      </c>
      <c r="C82" s="36" t="n">
        <v>1807.3</v>
      </c>
      <c r="D82" s="36" t="n">
        <v>1132.9</v>
      </c>
      <c r="E82" s="36">
        <f>C82-D82</f>
        <v/>
      </c>
    </row>
    <row r="83" ht="15" customHeight="1" s="22">
      <c r="A83" s="31" t="n">
        <v>19261.6</v>
      </c>
      <c r="B83" s="35" t="n">
        <v>19.2616</v>
      </c>
      <c r="C83" s="36" t="n">
        <v>1962.5</v>
      </c>
      <c r="D83" s="36" t="n">
        <v>1135.6</v>
      </c>
      <c r="E83" s="36">
        <f>C83-D83</f>
        <v/>
      </c>
    </row>
    <row r="84" ht="15" customHeight="1" s="22">
      <c r="A84" s="31" t="n">
        <v>19505.4</v>
      </c>
      <c r="B84" s="35" t="n">
        <v>19.5054</v>
      </c>
      <c r="C84" s="36" t="n">
        <v>2075</v>
      </c>
      <c r="D84" s="36" t="n">
        <v>1137.9</v>
      </c>
      <c r="E84" s="36">
        <f>C84-D84</f>
        <v/>
      </c>
    </row>
    <row r="85" ht="15" customHeight="1" s="22">
      <c r="A85" s="31" t="n">
        <v>19749.2</v>
      </c>
      <c r="B85" s="35" t="n">
        <v>19.7492</v>
      </c>
      <c r="C85" s="36" t="n">
        <v>2040</v>
      </c>
      <c r="D85" s="36" t="n">
        <v>1140.3</v>
      </c>
      <c r="E85" s="36">
        <f>C85-D85</f>
        <v/>
      </c>
    </row>
    <row r="86" ht="15" customHeight="1" s="22">
      <c r="A86" s="31" t="n">
        <v>19993.1</v>
      </c>
      <c r="B86" s="35" t="n">
        <v>19.9931</v>
      </c>
      <c r="C86" s="36" t="n">
        <v>1903.3</v>
      </c>
      <c r="D86" s="36" t="n">
        <v>1142.6</v>
      </c>
      <c r="E86" s="36">
        <f>C86-D86</f>
        <v/>
      </c>
    </row>
    <row r="87" ht="15" customHeight="1" s="22">
      <c r="A87" s="31" t="n">
        <v>20236.9</v>
      </c>
      <c r="B87" s="35" t="n">
        <v>20.2369</v>
      </c>
      <c r="C87" s="36" t="n">
        <v>1806.2</v>
      </c>
      <c r="D87" s="36" t="n">
        <v>1145</v>
      </c>
      <c r="E87" s="36">
        <f>C87-D87</f>
        <v/>
      </c>
    </row>
    <row r="88" ht="15" customHeight="1" s="22">
      <c r="A88" s="31" t="n">
        <v>20515.5</v>
      </c>
      <c r="B88" s="35" t="n">
        <v>20.5155</v>
      </c>
      <c r="C88" s="36" t="n">
        <v>1652.5</v>
      </c>
      <c r="D88" s="36" t="n">
        <v>1147.6</v>
      </c>
      <c r="E88" s="36">
        <f>C88-D88</f>
        <v/>
      </c>
    </row>
    <row r="89" ht="15" customHeight="1" s="22">
      <c r="A89" s="31" t="n">
        <v>20759.3</v>
      </c>
      <c r="B89" s="35" t="n">
        <v>20.7593</v>
      </c>
      <c r="C89" s="36" t="n">
        <v>1812.1</v>
      </c>
      <c r="D89" s="36" t="n">
        <v>1150</v>
      </c>
      <c r="E89" s="36">
        <f>C89-D89</f>
        <v/>
      </c>
    </row>
    <row r="90" ht="15" customHeight="1" s="22">
      <c r="A90" s="31" t="n">
        <v>21003.2</v>
      </c>
      <c r="B90" s="35" t="n">
        <v>21.0032</v>
      </c>
      <c r="C90" s="36" t="n">
        <v>1870.9</v>
      </c>
      <c r="D90" s="36" t="n">
        <v>1152.3</v>
      </c>
      <c r="E90" s="36">
        <f>C90-D90</f>
        <v/>
      </c>
    </row>
    <row r="91" ht="15" customHeight="1" s="22">
      <c r="A91" s="31" t="n">
        <v>21247</v>
      </c>
      <c r="B91" s="35" t="n">
        <v>21.247</v>
      </c>
      <c r="C91" s="36" t="n">
        <v>1977</v>
      </c>
      <c r="D91" s="36" t="n">
        <v>1154.6</v>
      </c>
      <c r="E91" s="36">
        <f>C91-D91</f>
        <v/>
      </c>
    </row>
    <row r="92" ht="15" customHeight="1" s="22">
      <c r="A92" s="31" t="n">
        <v>21490.8</v>
      </c>
      <c r="B92" s="35" t="n">
        <v>21.4908</v>
      </c>
      <c r="C92" s="36" t="n">
        <v>1990.5</v>
      </c>
      <c r="D92" s="36" t="n">
        <v>1157</v>
      </c>
      <c r="E92" s="36">
        <f>C92-D92</f>
        <v/>
      </c>
    </row>
    <row r="93" ht="15" customHeight="1" s="22">
      <c r="A93" s="31" t="n">
        <v>21734.6</v>
      </c>
      <c r="B93" s="35" t="n">
        <v>21.7346</v>
      </c>
      <c r="C93" s="36" t="n">
        <v>1913.7</v>
      </c>
      <c r="D93" s="36" t="n">
        <v>1159.3</v>
      </c>
      <c r="E93" s="36">
        <f>C93-D93</f>
        <v/>
      </c>
    </row>
    <row r="94" ht="15" customHeight="1" s="22">
      <c r="A94" s="31" t="n">
        <v>22013.3</v>
      </c>
      <c r="B94" s="35" t="n">
        <v>22.0133</v>
      </c>
      <c r="C94" s="36" t="n">
        <v>1800.6</v>
      </c>
      <c r="D94" s="36" t="n">
        <v>1162</v>
      </c>
      <c r="E94" s="36">
        <f>C94-D94</f>
        <v/>
      </c>
    </row>
    <row r="95" ht="15" customHeight="1" s="22">
      <c r="A95" s="31" t="n">
        <v>22257.1</v>
      </c>
      <c r="B95" s="35" t="n">
        <v>22.2571</v>
      </c>
      <c r="C95" s="36" t="n">
        <v>1719.3</v>
      </c>
      <c r="D95" s="36" t="n">
        <v>1164.3</v>
      </c>
      <c r="E95" s="36">
        <f>C95-D95</f>
        <v/>
      </c>
    </row>
    <row r="96" ht="15" customHeight="1" s="22">
      <c r="A96" s="31" t="n">
        <v>22500.9</v>
      </c>
      <c r="B96" s="35" t="n">
        <v>22.5009</v>
      </c>
      <c r="C96" s="36" t="n">
        <v>1715.7</v>
      </c>
      <c r="D96" s="36" t="n">
        <v>1166.7</v>
      </c>
      <c r="E96" s="36">
        <f>C96-D96</f>
        <v/>
      </c>
    </row>
    <row r="97" ht="15" customHeight="1" s="22">
      <c r="A97" s="31" t="n">
        <v>22744.7</v>
      </c>
      <c r="B97" s="35" t="n">
        <v>22.7447</v>
      </c>
      <c r="C97" s="36" t="n">
        <v>1840.9</v>
      </c>
      <c r="D97" s="36" t="n">
        <v>1169</v>
      </c>
      <c r="E97" s="36">
        <f>C97-D97</f>
        <v/>
      </c>
    </row>
    <row r="98" ht="15" customHeight="1" s="22">
      <c r="A98" s="31" t="n">
        <v>22988.5</v>
      </c>
      <c r="B98" s="35" t="n">
        <v>22.9885</v>
      </c>
      <c r="C98" s="36" t="n">
        <v>1905.9</v>
      </c>
      <c r="D98" s="36" t="n">
        <v>1171.3</v>
      </c>
      <c r="E98" s="36">
        <f>C98-D98</f>
        <v/>
      </c>
    </row>
    <row r="99" ht="15" customHeight="1" s="22">
      <c r="A99" s="31" t="n">
        <v>23267.2</v>
      </c>
      <c r="B99" s="35" t="n">
        <v>23.2672</v>
      </c>
      <c r="C99" s="36" t="n">
        <v>1986</v>
      </c>
      <c r="D99" s="36" t="n">
        <v>1174</v>
      </c>
      <c r="E99" s="36">
        <f>C99-D99</f>
        <v/>
      </c>
    </row>
    <row r="100" ht="15" customHeight="1" s="22">
      <c r="A100" s="31" t="n">
        <v>23511</v>
      </c>
      <c r="B100" s="35" t="n">
        <v>23.511</v>
      </c>
      <c r="C100" s="36" t="n">
        <v>2104</v>
      </c>
      <c r="D100" s="36" t="n">
        <v>1176.3</v>
      </c>
      <c r="E100" s="36">
        <f>C100-D100</f>
        <v/>
      </c>
    </row>
    <row r="101" ht="15" customHeight="1" s="22">
      <c r="A101" s="31" t="n">
        <v>23754.8</v>
      </c>
      <c r="B101" s="35" t="n">
        <v>23.7548</v>
      </c>
      <c r="C101" s="36" t="n">
        <v>2247.6</v>
      </c>
      <c r="D101" s="36" t="n">
        <v>1178.7</v>
      </c>
      <c r="E101" s="36">
        <f>C101-D101</f>
        <v/>
      </c>
    </row>
    <row r="102" ht="15" customHeight="1" s="22">
      <c r="A102" s="31" t="n">
        <v>23998.6</v>
      </c>
      <c r="B102" s="35" t="n">
        <v>23.9986</v>
      </c>
      <c r="C102" s="36" t="n">
        <v>2375</v>
      </c>
      <c r="D102" s="36" t="n">
        <v>1181</v>
      </c>
      <c r="E102" s="36">
        <f>C102-D102</f>
        <v/>
      </c>
    </row>
    <row r="103" ht="15" customHeight="1" s="22">
      <c r="A103" s="31" t="n">
        <v>24242.4</v>
      </c>
      <c r="B103" s="35" t="n">
        <v>24.2424</v>
      </c>
      <c r="C103" s="36" t="n">
        <v>2437</v>
      </c>
      <c r="D103" s="36" t="n">
        <v>1183.4</v>
      </c>
      <c r="E103" s="36">
        <f>C103-D103</f>
        <v/>
      </c>
    </row>
    <row r="104" ht="15" customHeight="1" s="22">
      <c r="A104" s="31" t="n">
        <v>24486.3</v>
      </c>
      <c r="B104" s="35" t="n">
        <v>24.4863</v>
      </c>
      <c r="C104" s="36" t="n">
        <v>2491.9</v>
      </c>
      <c r="D104" s="36" t="n">
        <v>1185.7</v>
      </c>
      <c r="E104" s="36">
        <f>C104-D104</f>
        <v/>
      </c>
    </row>
    <row r="105" ht="15" customHeight="1" s="22">
      <c r="A105" s="31" t="n">
        <v>24764.9</v>
      </c>
      <c r="B105" s="35" t="n">
        <v>24.7649</v>
      </c>
      <c r="C105" s="36" t="n">
        <v>2431</v>
      </c>
      <c r="D105" s="36" t="n">
        <v>1188.4</v>
      </c>
      <c r="E105" s="36">
        <f>C105-D105</f>
        <v/>
      </c>
    </row>
    <row r="106" ht="15" customHeight="1" s="22">
      <c r="A106" s="31" t="n">
        <v>25008.7</v>
      </c>
      <c r="B106" s="35" t="n">
        <v>25.0087</v>
      </c>
      <c r="C106" s="36" t="n">
        <v>2345</v>
      </c>
      <c r="D106" s="36" t="n">
        <v>1190.7</v>
      </c>
      <c r="E106" s="36">
        <f>C106-D106</f>
        <v/>
      </c>
    </row>
    <row r="107" ht="15" customHeight="1" s="22">
      <c r="A107" s="31" t="n">
        <v>25252.5</v>
      </c>
      <c r="B107" s="35" t="n">
        <v>25.2525</v>
      </c>
      <c r="C107" s="36" t="n">
        <v>2302.4</v>
      </c>
      <c r="D107" s="36" t="n">
        <v>1193</v>
      </c>
      <c r="E107" s="36">
        <f>C107-D107</f>
        <v/>
      </c>
    </row>
    <row r="108" ht="15" customHeight="1" s="22">
      <c r="A108" s="31" t="n">
        <v>25496.4</v>
      </c>
      <c r="B108" s="35" t="n">
        <v>25.4964</v>
      </c>
      <c r="C108" s="36" t="n">
        <v>2233.9</v>
      </c>
      <c r="D108" s="36" t="n">
        <v>1195.4</v>
      </c>
      <c r="E108" s="36">
        <f>C108-D108</f>
        <v/>
      </c>
    </row>
    <row r="109" ht="15" customHeight="1" s="22">
      <c r="A109" s="31" t="n">
        <v>25740.2</v>
      </c>
      <c r="B109" s="35" t="n">
        <v>25.7402</v>
      </c>
      <c r="C109" s="36" t="n">
        <v>2051.1</v>
      </c>
      <c r="D109" s="36" t="n">
        <v>1197.7</v>
      </c>
      <c r="E109" s="36">
        <f>C109-D109</f>
        <v/>
      </c>
    </row>
    <row r="110" ht="15" customHeight="1" s="22">
      <c r="A110" s="31" t="n">
        <v>25984</v>
      </c>
      <c r="B110" s="35" t="n">
        <v>25.984</v>
      </c>
      <c r="C110" s="36" t="n">
        <v>2016.8</v>
      </c>
      <c r="D110" s="36" t="n">
        <v>1200.1</v>
      </c>
      <c r="E110" s="36">
        <f>C110-D110</f>
        <v/>
      </c>
    </row>
    <row r="111" ht="15" customHeight="1" s="22">
      <c r="A111" s="31" t="n">
        <v>26262.6</v>
      </c>
      <c r="B111" s="35" t="n">
        <v>26.2626</v>
      </c>
      <c r="C111" s="36" t="n">
        <v>2003.6</v>
      </c>
      <c r="D111" s="36" t="n">
        <v>1202.7</v>
      </c>
      <c r="E111" s="36">
        <f>C111-D111</f>
        <v/>
      </c>
    </row>
    <row r="112" ht="15" customHeight="1" s="22">
      <c r="A112" s="31" t="n">
        <v>26506.5</v>
      </c>
      <c r="B112" s="35" t="n">
        <v>26.5065</v>
      </c>
      <c r="C112" s="36" t="n">
        <v>1851.8</v>
      </c>
      <c r="D112" s="36" t="n">
        <v>1205.1</v>
      </c>
      <c r="E112" s="36">
        <f>C112-D112</f>
        <v/>
      </c>
    </row>
    <row r="113" ht="15" customHeight="1" s="22">
      <c r="A113" s="31" t="n">
        <v>26750.3</v>
      </c>
      <c r="B113" s="35" t="n">
        <v>26.7503</v>
      </c>
      <c r="C113" s="36" t="n">
        <v>1751.2</v>
      </c>
      <c r="D113" s="36" t="n">
        <v>1207.4</v>
      </c>
      <c r="E113" s="36">
        <f>C113-D113</f>
        <v/>
      </c>
    </row>
    <row r="114" ht="15" customHeight="1" s="22">
      <c r="A114" s="31" t="n">
        <v>26994.1</v>
      </c>
      <c r="B114" s="35" t="n">
        <v>26.9941</v>
      </c>
      <c r="C114" s="36" t="n">
        <v>1779.9</v>
      </c>
      <c r="D114" s="36" t="n">
        <v>1209.7</v>
      </c>
      <c r="E114" s="36">
        <f>C114-D114</f>
        <v/>
      </c>
    </row>
    <row r="115" ht="15" customHeight="1" s="22">
      <c r="A115" s="31" t="n">
        <v>27237.9</v>
      </c>
      <c r="B115" s="35" t="n">
        <v>27.2379</v>
      </c>
      <c r="C115" s="36" t="n">
        <v>1887.7</v>
      </c>
      <c r="D115" s="36" t="n">
        <v>1212.1</v>
      </c>
      <c r="E115" s="36">
        <f>C115-D115</f>
        <v/>
      </c>
    </row>
    <row r="116" ht="15" customHeight="1" s="22">
      <c r="A116" s="31" t="n">
        <v>27516.6</v>
      </c>
      <c r="B116" s="35" t="n">
        <v>27.5166</v>
      </c>
      <c r="C116" s="36" t="n">
        <v>2013.7</v>
      </c>
      <c r="D116" s="36" t="n">
        <v>1214.7</v>
      </c>
      <c r="E116" s="36">
        <f>C116-D116</f>
        <v/>
      </c>
    </row>
    <row r="117" ht="15" customHeight="1" s="22">
      <c r="A117" s="31" t="n">
        <v>27760.4</v>
      </c>
      <c r="B117" s="35" t="n">
        <v>27.7604</v>
      </c>
      <c r="C117" s="36" t="n">
        <v>2141.9</v>
      </c>
      <c r="D117" s="36" t="n">
        <v>1217.1</v>
      </c>
      <c r="E117" s="36">
        <f>C117-D117</f>
        <v/>
      </c>
    </row>
    <row r="118" ht="15" customHeight="1" s="22">
      <c r="A118" s="31" t="n">
        <v>28004.2</v>
      </c>
      <c r="B118" s="35" t="n">
        <v>28.0042</v>
      </c>
      <c r="C118" s="36" t="n">
        <v>2244.2</v>
      </c>
      <c r="D118" s="36" t="n">
        <v>1219.4</v>
      </c>
      <c r="E118" s="36">
        <f>C118-D118</f>
        <v/>
      </c>
    </row>
    <row r="119" ht="15" customHeight="1" s="22">
      <c r="A119" s="31" t="n">
        <v>28248</v>
      </c>
      <c r="B119" s="35" t="n">
        <v>28.248</v>
      </c>
      <c r="C119" s="36" t="n">
        <v>2308.6</v>
      </c>
      <c r="D119" s="36" t="n">
        <v>1221.8</v>
      </c>
      <c r="E119" s="36">
        <f>C119-D119</f>
        <v/>
      </c>
    </row>
    <row r="120" ht="15" customHeight="1" s="22">
      <c r="A120" s="31" t="n">
        <v>28491.8</v>
      </c>
      <c r="B120" s="35" t="n">
        <v>28.4918</v>
      </c>
      <c r="C120" s="36" t="n">
        <v>2289.7</v>
      </c>
      <c r="D120" s="36" t="n">
        <v>1224.1</v>
      </c>
      <c r="E120" s="36">
        <f>C120-D120</f>
        <v/>
      </c>
    </row>
    <row r="121" ht="15" customHeight="1" s="22">
      <c r="A121" s="31" t="n">
        <v>28735.7</v>
      </c>
      <c r="B121" s="35" t="n">
        <v>28.7357</v>
      </c>
      <c r="C121" s="36" t="n">
        <v>2263.4</v>
      </c>
      <c r="D121" s="36" t="n">
        <v>1226.4</v>
      </c>
      <c r="E121" s="36">
        <f>C121-D121</f>
        <v/>
      </c>
    </row>
    <row r="122" ht="15" customHeight="1" s="22">
      <c r="A122" s="31" t="n">
        <v>29014.3</v>
      </c>
      <c r="B122" s="35" t="n">
        <v>29.0143</v>
      </c>
      <c r="C122" s="36" t="n">
        <v>2214.8</v>
      </c>
      <c r="D122" s="36" t="n">
        <v>1229.1</v>
      </c>
      <c r="E122" s="36">
        <f>C122-D122</f>
        <v/>
      </c>
    </row>
    <row r="123" ht="15" customHeight="1" s="22">
      <c r="A123" s="31" t="n">
        <v>29258.1</v>
      </c>
      <c r="B123" s="35" t="n">
        <v>29.2581</v>
      </c>
      <c r="C123" s="36" t="n">
        <v>2082.5</v>
      </c>
      <c r="D123" s="36" t="n">
        <v>1231.4</v>
      </c>
      <c r="E123" s="36">
        <f>C123-D123</f>
        <v/>
      </c>
    </row>
    <row r="124" ht="15" customHeight="1" s="22">
      <c r="A124" s="31" t="n">
        <v>29501.9</v>
      </c>
      <c r="B124" s="35" t="n">
        <v>29.5019</v>
      </c>
      <c r="C124" s="36" t="n">
        <v>2087.1</v>
      </c>
      <c r="D124" s="36" t="n">
        <v>1233.8</v>
      </c>
      <c r="E124" s="36">
        <f>C124-D124</f>
        <v/>
      </c>
    </row>
    <row r="125" ht="15" customHeight="1" s="22">
      <c r="A125" s="31" t="n">
        <v>29745.8</v>
      </c>
      <c r="B125" s="35" t="n">
        <v>29.7458</v>
      </c>
      <c r="C125" s="36" t="n">
        <v>2182.8</v>
      </c>
      <c r="D125" s="36" t="n">
        <v>1236.1</v>
      </c>
      <c r="E125" s="36">
        <f>C125-D125</f>
        <v/>
      </c>
    </row>
    <row r="126" ht="15" customHeight="1" s="22">
      <c r="A126" s="31" t="n">
        <v>29989.6</v>
      </c>
      <c r="B126" s="35" t="n">
        <v>29.9896</v>
      </c>
      <c r="C126" s="36" t="n">
        <v>2101.4</v>
      </c>
      <c r="D126" s="36" t="n">
        <v>1238.5</v>
      </c>
      <c r="E126" s="36">
        <f>C126-D126</f>
        <v/>
      </c>
    </row>
    <row r="127" ht="15" customHeight="1" s="22">
      <c r="A127" s="31" t="n">
        <v>30233.4</v>
      </c>
      <c r="B127" s="35" t="n">
        <v>30.2334</v>
      </c>
      <c r="C127" s="36" t="n">
        <v>2144.9</v>
      </c>
      <c r="D127" s="36" t="n">
        <v>1240.8</v>
      </c>
      <c r="E127" s="36">
        <f>C127-D127</f>
        <v/>
      </c>
    </row>
    <row r="128" ht="15" customHeight="1" s="22">
      <c r="A128" s="31" t="n">
        <v>30512</v>
      </c>
      <c r="B128" s="35" t="n">
        <v>30.512</v>
      </c>
      <c r="C128" s="36" t="n">
        <v>2119.4</v>
      </c>
      <c r="D128" s="36" t="n">
        <v>1243.5</v>
      </c>
      <c r="E128" s="36">
        <f>C128-D128</f>
        <v/>
      </c>
    </row>
    <row r="129" ht="15" customHeight="1" s="22">
      <c r="A129" s="31" t="n">
        <v>30755.9</v>
      </c>
      <c r="B129" s="35" t="n">
        <v>30.7559</v>
      </c>
      <c r="C129" s="36" t="n">
        <v>2065.2</v>
      </c>
      <c r="D129" s="36" t="n">
        <v>1245.8</v>
      </c>
      <c r="E129" s="36">
        <f>C129-D129</f>
        <v/>
      </c>
    </row>
    <row r="130" ht="15" customHeight="1" s="22">
      <c r="A130" s="31" t="n">
        <v>30999.7</v>
      </c>
      <c r="B130" s="35" t="n">
        <v>30.9997</v>
      </c>
      <c r="C130" s="36" t="n">
        <v>2171</v>
      </c>
      <c r="D130" s="36" t="n">
        <v>1248.1</v>
      </c>
      <c r="E130" s="36">
        <f>C130-D130</f>
        <v/>
      </c>
    </row>
    <row r="131" ht="15" customHeight="1" s="22">
      <c r="A131" s="31" t="n">
        <v>31243.5</v>
      </c>
      <c r="B131" s="35" t="n">
        <v>31.2435</v>
      </c>
      <c r="C131" s="36" t="n">
        <v>2181.9</v>
      </c>
      <c r="D131" s="36" t="n">
        <v>1250.5</v>
      </c>
      <c r="E131" s="36">
        <f>C131-D131</f>
        <v/>
      </c>
    </row>
    <row r="132" ht="15" customHeight="1" s="22">
      <c r="A132" s="31" t="n">
        <v>31487.3</v>
      </c>
      <c r="B132" s="35" t="n">
        <v>31.4873</v>
      </c>
      <c r="C132" s="36" t="n">
        <v>2166</v>
      </c>
      <c r="D132" s="36" t="n">
        <v>1252.8</v>
      </c>
      <c r="E132" s="36">
        <f>C132-D132</f>
        <v/>
      </c>
    </row>
    <row r="133" ht="15" customHeight="1" s="22">
      <c r="A133" s="31" t="n">
        <v>31766</v>
      </c>
      <c r="B133" s="35" t="n">
        <v>31.766</v>
      </c>
      <c r="C133" s="36" t="n">
        <v>2289.8</v>
      </c>
      <c r="D133" s="36" t="n">
        <v>1255.5</v>
      </c>
      <c r="E133" s="36">
        <f>C133-D133</f>
        <v/>
      </c>
    </row>
    <row r="134" ht="15" customHeight="1" s="22">
      <c r="A134" s="31" t="n">
        <v>32009.8</v>
      </c>
      <c r="B134" s="35" t="n">
        <v>32.0098</v>
      </c>
      <c r="C134" s="36" t="n">
        <v>2311.9</v>
      </c>
      <c r="D134" s="36" t="n">
        <v>1257.8</v>
      </c>
      <c r="E134" s="36">
        <f>C134-D134</f>
        <v/>
      </c>
    </row>
    <row r="135" ht="15" customHeight="1" s="22">
      <c r="A135" s="31" t="n">
        <v>32253.6</v>
      </c>
      <c r="B135" s="35" t="n">
        <v>32.2536</v>
      </c>
      <c r="C135" s="36" t="n">
        <v>2311.3</v>
      </c>
      <c r="D135" s="36" t="n">
        <v>1260.2</v>
      </c>
      <c r="E135" s="36">
        <f>C135-D135</f>
        <v/>
      </c>
    </row>
    <row r="136" ht="15" customHeight="1" s="22">
      <c r="A136" s="31" t="n">
        <v>32497.4</v>
      </c>
      <c r="B136" s="35" t="n">
        <v>32.4974</v>
      </c>
      <c r="C136" s="36" t="n">
        <v>2265.1</v>
      </c>
      <c r="D136" s="36" t="n">
        <v>1262.5</v>
      </c>
      <c r="E136" s="36">
        <f>C136-D136</f>
        <v/>
      </c>
    </row>
    <row r="137" ht="15" customHeight="1" s="22">
      <c r="A137" s="31" t="n">
        <v>32741.2</v>
      </c>
      <c r="B137" s="35" t="n">
        <v>32.7412</v>
      </c>
      <c r="C137" s="36" t="n">
        <v>2222.9</v>
      </c>
      <c r="D137" s="36" t="n">
        <v>1264.8</v>
      </c>
      <c r="E137" s="36">
        <f>C137-D137</f>
        <v/>
      </c>
    </row>
    <row r="138" ht="15" customHeight="1" s="22">
      <c r="A138" s="31" t="n">
        <v>32985</v>
      </c>
      <c r="B138" s="35" t="n">
        <v>32.985</v>
      </c>
      <c r="C138" s="36" t="n">
        <v>2231.8</v>
      </c>
      <c r="D138" s="36" t="n">
        <v>1267.2</v>
      </c>
      <c r="E138" s="36">
        <f>C138-D138</f>
        <v/>
      </c>
    </row>
    <row r="139" ht="15" customHeight="1" s="22">
      <c r="A139" s="31" t="n">
        <v>33263.7</v>
      </c>
      <c r="B139" s="35" t="n">
        <v>33.2637</v>
      </c>
      <c r="C139" s="36" t="n">
        <v>2368.6</v>
      </c>
      <c r="D139" s="36" t="n">
        <v>1269.8</v>
      </c>
      <c r="E139" s="36">
        <f>C139-D139</f>
        <v/>
      </c>
    </row>
    <row r="140" ht="15" customHeight="1" s="22">
      <c r="A140" s="31" t="n">
        <v>33507.5</v>
      </c>
      <c r="B140" s="35" t="n">
        <v>33.5075</v>
      </c>
      <c r="C140" s="36" t="n">
        <v>2392.7</v>
      </c>
      <c r="D140" s="36" t="n">
        <v>1272.2</v>
      </c>
      <c r="E140" s="36">
        <f>C140-D140</f>
        <v/>
      </c>
    </row>
    <row r="141" ht="15" customHeight="1" s="22">
      <c r="A141" s="31" t="n">
        <v>33751.3</v>
      </c>
      <c r="B141" s="35" t="n">
        <v>33.7513</v>
      </c>
      <c r="C141" s="36" t="n">
        <v>2359.8</v>
      </c>
      <c r="D141" s="36" t="n">
        <v>1274.5</v>
      </c>
      <c r="E141" s="36">
        <f>C141-D141</f>
        <v/>
      </c>
    </row>
    <row r="142" ht="15" customHeight="1" s="22">
      <c r="A142" s="31" t="n">
        <v>33995.2</v>
      </c>
      <c r="B142" s="35" t="n">
        <v>33.9952</v>
      </c>
      <c r="C142" s="36" t="n">
        <v>2309.7</v>
      </c>
      <c r="D142" s="36" t="n">
        <v>1276.9</v>
      </c>
      <c r="E142" s="36">
        <f>C142-D142</f>
        <v/>
      </c>
    </row>
    <row r="143" ht="15" customHeight="1" s="22">
      <c r="A143" s="31" t="n">
        <v>34239</v>
      </c>
      <c r="B143" s="35" t="n">
        <v>34.239</v>
      </c>
      <c r="C143" s="36" t="n">
        <v>2298.4</v>
      </c>
      <c r="D143" s="36" t="n">
        <v>1279.2</v>
      </c>
      <c r="E143" s="36">
        <f>C143-D143</f>
        <v/>
      </c>
    </row>
    <row r="144" ht="15" customHeight="1" s="22">
      <c r="A144" s="31" t="n">
        <v>34482.8</v>
      </c>
      <c r="B144" s="35" t="n">
        <v>34.4828</v>
      </c>
      <c r="C144" s="36" t="n">
        <v>2400.3</v>
      </c>
      <c r="D144" s="36" t="n">
        <v>1281.5</v>
      </c>
      <c r="E144" s="36">
        <f>C144-D144</f>
        <v/>
      </c>
    </row>
    <row r="145" ht="15" customHeight="1" s="22">
      <c r="A145" s="31" t="n">
        <v>34761.4</v>
      </c>
      <c r="B145" s="35" t="n">
        <v>34.7614</v>
      </c>
      <c r="C145" s="36" t="n">
        <v>2497.6</v>
      </c>
      <c r="D145" s="36" t="n">
        <v>1284.2</v>
      </c>
      <c r="E145" s="36">
        <f>C145-D145</f>
        <v/>
      </c>
    </row>
    <row r="146" ht="15" customHeight="1" s="22">
      <c r="A146" s="31" t="n">
        <v>35005.3</v>
      </c>
      <c r="B146" s="35" t="n">
        <v>35.0053</v>
      </c>
      <c r="C146" s="36" t="n">
        <v>2540.9</v>
      </c>
      <c r="D146" s="36" t="n">
        <v>1286.5</v>
      </c>
      <c r="E146" s="36">
        <f>C146-D146</f>
        <v/>
      </c>
    </row>
    <row r="147" ht="15" customHeight="1" s="22">
      <c r="A147" s="31" t="n">
        <v>35249.1</v>
      </c>
      <c r="B147" s="35" t="n">
        <v>35.2491</v>
      </c>
      <c r="C147" s="36" t="n">
        <v>2641.5</v>
      </c>
      <c r="D147" s="36" t="n">
        <v>1288.9</v>
      </c>
      <c r="E147" s="36">
        <f>C147-D147</f>
        <v/>
      </c>
    </row>
    <row r="148" ht="15" customHeight="1" s="22">
      <c r="A148" s="31" t="n">
        <v>35492.9</v>
      </c>
      <c r="B148" s="35" t="n">
        <v>35.4929</v>
      </c>
      <c r="C148" s="36" t="n">
        <v>2599.8</v>
      </c>
      <c r="D148" s="36" t="n">
        <v>1291.2</v>
      </c>
      <c r="E148" s="36">
        <f>C148-D148</f>
        <v/>
      </c>
    </row>
    <row r="149" ht="15" customHeight="1" s="22">
      <c r="A149" s="31" t="n">
        <v>35736.7</v>
      </c>
      <c r="B149" s="35" t="n">
        <v>35.7367</v>
      </c>
      <c r="C149" s="36" t="n">
        <v>2506.7</v>
      </c>
      <c r="D149" s="36" t="n">
        <v>1293.6</v>
      </c>
      <c r="E149" s="36">
        <f>C149-D149</f>
        <v/>
      </c>
    </row>
    <row r="150" ht="15" customHeight="1" s="22">
      <c r="A150" s="31" t="n">
        <v>36015.4</v>
      </c>
      <c r="B150" s="35" t="n">
        <v>36.0154</v>
      </c>
      <c r="C150" s="36" t="n">
        <v>2429.4</v>
      </c>
      <c r="D150" s="36" t="n">
        <v>1296.2</v>
      </c>
      <c r="E150" s="36">
        <f>C150-D150</f>
        <v/>
      </c>
    </row>
    <row r="151" ht="15" customHeight="1" s="22">
      <c r="A151" s="31" t="n">
        <v>36259.2</v>
      </c>
      <c r="B151" s="35" t="n">
        <v>36.2592</v>
      </c>
      <c r="C151" s="36" t="n">
        <v>2458.1</v>
      </c>
      <c r="D151" s="36" t="n">
        <v>1298.6</v>
      </c>
      <c r="E151" s="36">
        <f>C151-D151</f>
        <v/>
      </c>
    </row>
    <row r="152" ht="15" customHeight="1" s="22">
      <c r="A152" s="31" t="n">
        <v>36503</v>
      </c>
      <c r="B152" s="35" t="n">
        <v>36.503</v>
      </c>
      <c r="C152" s="36" t="n">
        <v>2495.7</v>
      </c>
      <c r="D152" s="36" t="n">
        <v>1300.9</v>
      </c>
      <c r="E152" s="36">
        <f>C152-D152</f>
        <v/>
      </c>
    </row>
    <row r="153" ht="15" customHeight="1" s="22">
      <c r="A153" s="31" t="n">
        <v>36746.8</v>
      </c>
      <c r="B153" s="35" t="n">
        <v>36.7468</v>
      </c>
      <c r="C153" s="36" t="n">
        <v>2500.3</v>
      </c>
      <c r="D153" s="36" t="n">
        <v>1303.2</v>
      </c>
      <c r="E153" s="36">
        <f>C153-D153</f>
        <v/>
      </c>
    </row>
    <row r="154" ht="15" customHeight="1" s="22">
      <c r="A154" s="31" t="n">
        <v>36990.6</v>
      </c>
      <c r="B154" s="35" t="n">
        <v>36.9906</v>
      </c>
      <c r="C154" s="36" t="n">
        <v>2529</v>
      </c>
      <c r="D154" s="36" t="n">
        <v>1305.6</v>
      </c>
      <c r="E154" s="36">
        <f>C154-D154</f>
        <v/>
      </c>
    </row>
    <row r="155" ht="15" customHeight="1" s="22">
      <c r="A155" s="31" t="n">
        <v>37234.4</v>
      </c>
      <c r="B155" s="35" t="n">
        <v>37.2344</v>
      </c>
      <c r="C155" s="36" t="n">
        <v>2532.4</v>
      </c>
      <c r="D155" s="36" t="n">
        <v>1307.9</v>
      </c>
      <c r="E155" s="36">
        <f>C155-D155</f>
        <v/>
      </c>
    </row>
    <row r="156" ht="15" customHeight="1" s="22">
      <c r="A156" s="31" t="n">
        <v>37513.1</v>
      </c>
      <c r="B156" s="35" t="n">
        <v>37.5131</v>
      </c>
      <c r="C156" s="36" t="n">
        <v>2606.5</v>
      </c>
      <c r="D156" s="36" t="n">
        <v>1310.6</v>
      </c>
      <c r="E156" s="36">
        <f>C156-D156</f>
        <v/>
      </c>
    </row>
    <row r="157" ht="15" customHeight="1" s="22">
      <c r="A157" s="31" t="n">
        <v>37756.9</v>
      </c>
      <c r="B157" s="35" t="n">
        <v>37.7569</v>
      </c>
      <c r="C157" s="36" t="n">
        <v>2653.8</v>
      </c>
      <c r="D157" s="36" t="n">
        <v>1312.9</v>
      </c>
      <c r="E157" s="36">
        <f>C157-D157</f>
        <v/>
      </c>
    </row>
    <row r="158" ht="15" customHeight="1" s="22">
      <c r="A158" s="31" t="n">
        <v>38000.7</v>
      </c>
      <c r="B158" s="35" t="n">
        <v>38.0007</v>
      </c>
      <c r="C158" s="36" t="n">
        <v>2661.1</v>
      </c>
      <c r="D158" s="36" t="n">
        <v>1315.3</v>
      </c>
      <c r="E158" s="36">
        <f>C158-D158</f>
        <v/>
      </c>
    </row>
    <row r="159" ht="15" customHeight="1" s="22">
      <c r="A159" s="31" t="n">
        <v>38244.5</v>
      </c>
      <c r="B159" s="35" t="n">
        <v>38.2445</v>
      </c>
      <c r="C159" s="36" t="n">
        <v>2644.9</v>
      </c>
      <c r="D159" s="36" t="n">
        <v>1317.6</v>
      </c>
      <c r="E159" s="36">
        <f>C159-D159</f>
        <v/>
      </c>
    </row>
    <row r="160" ht="15" customHeight="1" s="22">
      <c r="A160" s="31" t="n">
        <v>38488.4</v>
      </c>
      <c r="B160" s="35" t="n">
        <v>38.4884</v>
      </c>
      <c r="C160" s="36" t="n">
        <v>2741.9</v>
      </c>
      <c r="D160" s="36" t="n">
        <v>1319.9</v>
      </c>
      <c r="E160" s="36">
        <f>C160-D160</f>
        <v/>
      </c>
    </row>
    <row r="161" ht="15" customHeight="1" s="22">
      <c r="A161" s="31" t="n">
        <v>38767</v>
      </c>
      <c r="B161" s="35" t="n">
        <v>38.767</v>
      </c>
      <c r="C161" s="36" t="n">
        <v>2812.6</v>
      </c>
      <c r="D161" s="36" t="n">
        <v>1322.6</v>
      </c>
      <c r="E161" s="36">
        <f>C161-D161</f>
        <v/>
      </c>
    </row>
    <row r="162" ht="15" customHeight="1" s="22">
      <c r="A162" s="31" t="n">
        <v>39010.8</v>
      </c>
      <c r="B162" s="35" t="n">
        <v>39.0108</v>
      </c>
      <c r="C162" s="36" t="n">
        <v>2838.6</v>
      </c>
      <c r="D162" s="36" t="n">
        <v>1324.9</v>
      </c>
      <c r="E162" s="36">
        <f>C162-D162</f>
        <v/>
      </c>
    </row>
    <row r="163" ht="15" customHeight="1" s="22">
      <c r="A163" s="31" t="n">
        <v>39254.6</v>
      </c>
      <c r="B163" s="35" t="n">
        <v>39.2546</v>
      </c>
      <c r="C163" s="36" t="n">
        <v>2835</v>
      </c>
      <c r="D163" s="36" t="n">
        <v>1327.3</v>
      </c>
      <c r="E163" s="36">
        <f>C163-D163</f>
        <v/>
      </c>
    </row>
    <row r="164" ht="15" customHeight="1" s="22">
      <c r="A164" s="31" t="n">
        <v>39498.5</v>
      </c>
      <c r="B164" s="35" t="n">
        <v>39.4985</v>
      </c>
      <c r="C164" s="36" t="n">
        <v>2863.6</v>
      </c>
      <c r="D164" s="36" t="n">
        <v>1329.6</v>
      </c>
      <c r="E164" s="36">
        <f>C164-D164</f>
        <v/>
      </c>
    </row>
    <row r="165" ht="15" customHeight="1" s="22">
      <c r="A165" s="31" t="n">
        <v>39742.3</v>
      </c>
      <c r="B165" s="35" t="n">
        <v>39.7423</v>
      </c>
      <c r="C165" s="36" t="n">
        <v>2931.4</v>
      </c>
      <c r="D165" s="36" t="n">
        <v>1332</v>
      </c>
      <c r="E165" s="36">
        <f>C165-D165</f>
        <v/>
      </c>
    </row>
    <row r="166" ht="15" customHeight="1" s="22">
      <c r="A166" s="31" t="n">
        <v>39986.1</v>
      </c>
      <c r="B166" s="35" t="n">
        <v>39.9861</v>
      </c>
      <c r="C166" s="36" t="n">
        <v>2942.2</v>
      </c>
      <c r="D166" s="36" t="n">
        <v>1334.3</v>
      </c>
      <c r="E166" s="36">
        <f>C166-D166</f>
        <v/>
      </c>
    </row>
    <row r="167" ht="15" customHeight="1" s="22">
      <c r="A167" s="31" t="n">
        <v>40264.7</v>
      </c>
      <c r="B167" s="35" t="n">
        <v>40.2647</v>
      </c>
      <c r="C167" s="36" t="n">
        <v>2965.6</v>
      </c>
      <c r="D167" s="36" t="n">
        <v>1337</v>
      </c>
      <c r="E167" s="36">
        <f>C167-D167</f>
        <v/>
      </c>
    </row>
    <row r="168" ht="15" customHeight="1" s="22">
      <c r="A168" s="31" t="n">
        <v>40508.6</v>
      </c>
      <c r="B168" s="35" t="n">
        <v>40.5086</v>
      </c>
      <c r="C168" s="36" t="n">
        <v>2865.4</v>
      </c>
      <c r="D168" s="36" t="n">
        <v>1339.3</v>
      </c>
      <c r="E168" s="36">
        <f>C168-D168</f>
        <v/>
      </c>
    </row>
    <row r="169" ht="15" customHeight="1" s="22">
      <c r="A169" s="31" t="n">
        <v>40752.4</v>
      </c>
      <c r="B169" s="35" t="n">
        <v>40.7524</v>
      </c>
      <c r="C169" s="36" t="n">
        <v>2926.2</v>
      </c>
      <c r="D169" s="36" t="n">
        <v>1341.6</v>
      </c>
      <c r="E169" s="36">
        <f>C169-D169</f>
        <v/>
      </c>
    </row>
    <row r="170" ht="15" customHeight="1" s="22">
      <c r="A170" s="31" t="n">
        <v>40996.2</v>
      </c>
      <c r="B170" s="35" t="n">
        <v>40.9962</v>
      </c>
      <c r="C170" s="36" t="n">
        <v>3043.3</v>
      </c>
      <c r="D170" s="36" t="n">
        <v>1344</v>
      </c>
      <c r="E170" s="36">
        <f>C170-D170</f>
        <v/>
      </c>
    </row>
    <row r="171" ht="15" customHeight="1" s="22">
      <c r="A171" s="31" t="n">
        <v>41240</v>
      </c>
      <c r="B171" s="35" t="n">
        <v>41.24</v>
      </c>
      <c r="C171" s="36" t="n">
        <v>3095.9</v>
      </c>
      <c r="D171" s="36" t="n">
        <v>1346.3</v>
      </c>
      <c r="E171" s="36">
        <f>C171-D171</f>
        <v/>
      </c>
    </row>
    <row r="172" ht="15" customHeight="1" s="22">
      <c r="A172" s="31" t="n">
        <v>41483.8</v>
      </c>
      <c r="B172" s="35" t="n">
        <v>41.4838</v>
      </c>
      <c r="C172" s="36" t="n">
        <v>3108.3</v>
      </c>
      <c r="D172" s="36" t="n">
        <v>1348.6</v>
      </c>
      <c r="E172" s="36">
        <f>C172-D172</f>
        <v/>
      </c>
    </row>
    <row r="173" ht="15" customHeight="1" s="22">
      <c r="A173" s="31" t="n">
        <v>41762.5</v>
      </c>
      <c r="B173" s="35" t="n">
        <v>41.7625</v>
      </c>
      <c r="C173" s="36" t="n">
        <v>3157.3</v>
      </c>
      <c r="D173" s="36" t="n">
        <v>1351.3</v>
      </c>
      <c r="E173" s="36">
        <f>C173-D173</f>
        <v/>
      </c>
    </row>
    <row r="174" ht="15" customHeight="1" s="22">
      <c r="A174" s="31" t="n">
        <v>42006.3</v>
      </c>
      <c r="B174" s="35" t="n">
        <v>42.0063</v>
      </c>
      <c r="C174" s="36" t="n">
        <v>3122</v>
      </c>
      <c r="D174" s="36" t="n">
        <v>1353.7</v>
      </c>
      <c r="E174" s="36">
        <f>C174-D174</f>
        <v/>
      </c>
    </row>
    <row r="175" ht="15" customHeight="1" s="22">
      <c r="A175" s="31" t="n">
        <v>42250.1</v>
      </c>
      <c r="B175" s="35" t="n">
        <v>42.2501</v>
      </c>
      <c r="C175" s="36" t="n">
        <v>3182.7</v>
      </c>
      <c r="D175" s="36" t="n">
        <v>1356</v>
      </c>
      <c r="E175" s="36">
        <f>C175-D175</f>
        <v/>
      </c>
    </row>
    <row r="176" ht="15" customHeight="1" s="22">
      <c r="A176" s="31" t="n">
        <v>42493.9</v>
      </c>
      <c r="B176" s="35" t="n">
        <v>42.4939</v>
      </c>
      <c r="C176" s="36" t="n">
        <v>3283</v>
      </c>
      <c r="D176" s="36" t="n">
        <v>1358.3</v>
      </c>
      <c r="E176" s="36">
        <f>C176-D176</f>
        <v/>
      </c>
    </row>
    <row r="177" ht="15" customHeight="1" s="22">
      <c r="A177" s="31" t="n">
        <v>42737.8</v>
      </c>
      <c r="B177" s="35" t="n">
        <v>42.7378</v>
      </c>
      <c r="C177" s="36" t="n">
        <v>3371.8</v>
      </c>
      <c r="D177" s="36" t="n">
        <v>1360.7</v>
      </c>
      <c r="E177" s="36">
        <f>C177-D177</f>
        <v/>
      </c>
    </row>
    <row r="178" ht="15" customHeight="1" s="22">
      <c r="A178" s="31" t="n">
        <v>43016.4</v>
      </c>
      <c r="B178" s="35" t="n">
        <v>43.0164</v>
      </c>
      <c r="C178" s="36" t="n">
        <v>3285.3</v>
      </c>
      <c r="D178" s="36" t="n">
        <v>1363.3</v>
      </c>
      <c r="E178" s="36">
        <f>C178-D178</f>
        <v/>
      </c>
    </row>
    <row r="179" ht="15" customHeight="1" s="22">
      <c r="A179" s="31" t="n">
        <v>43260.2</v>
      </c>
      <c r="B179" s="35" t="n">
        <v>43.2602</v>
      </c>
      <c r="C179" s="36" t="n">
        <v>3317.2</v>
      </c>
      <c r="D179" s="36" t="n">
        <v>1365.7</v>
      </c>
      <c r="E179" s="36">
        <f>C179-D179</f>
        <v/>
      </c>
    </row>
    <row r="180" ht="15" customHeight="1" s="22">
      <c r="A180" s="31" t="n">
        <v>43504</v>
      </c>
      <c r="B180" s="35" t="n">
        <v>43.504</v>
      </c>
      <c r="C180" s="36" t="n">
        <v>3271.6</v>
      </c>
      <c r="D180" s="36" t="n">
        <v>1368</v>
      </c>
      <c r="E180" s="36">
        <f>C180-D180</f>
        <v/>
      </c>
    </row>
    <row r="181" ht="15" customHeight="1" s="22">
      <c r="A181" s="31" t="n">
        <v>43747.9</v>
      </c>
      <c r="B181" s="35" t="n">
        <v>43.7479</v>
      </c>
      <c r="C181" s="36" t="n">
        <v>3210.8</v>
      </c>
      <c r="D181" s="36" t="n">
        <v>1370.4</v>
      </c>
      <c r="E181" s="36">
        <f>C181-D181</f>
        <v/>
      </c>
    </row>
    <row r="182" ht="15" customHeight="1" s="22">
      <c r="A182" s="31" t="n">
        <v>43991.7</v>
      </c>
      <c r="B182" s="35" t="n">
        <v>43.9917</v>
      </c>
      <c r="C182" s="36" t="n">
        <v>3176.8</v>
      </c>
      <c r="D182" s="36" t="n">
        <v>1372.7</v>
      </c>
      <c r="E182" s="36">
        <f>C182-D182</f>
        <v/>
      </c>
    </row>
    <row r="183" ht="15" customHeight="1" s="22">
      <c r="A183" s="31" t="n">
        <v>44235.5</v>
      </c>
      <c r="B183" s="35" t="n">
        <v>44.2355</v>
      </c>
      <c r="C183" s="36" t="n">
        <v>3235.9</v>
      </c>
      <c r="D183" s="36" t="n">
        <v>1375</v>
      </c>
      <c r="E183" s="36">
        <f>C183-D183</f>
        <v/>
      </c>
    </row>
    <row r="184" ht="15" customHeight="1" s="22">
      <c r="A184" s="31" t="n">
        <v>44514.1</v>
      </c>
      <c r="B184" s="35" t="n">
        <v>44.5141</v>
      </c>
      <c r="C184" s="36" t="n">
        <v>3110.1</v>
      </c>
      <c r="D184" s="36" t="n">
        <v>1377.7</v>
      </c>
      <c r="E184" s="36">
        <f>C184-D184</f>
        <v/>
      </c>
    </row>
    <row r="185" ht="15" customHeight="1" s="22">
      <c r="A185" s="31" t="n">
        <v>44758</v>
      </c>
      <c r="B185" s="35" t="n">
        <v>44.758</v>
      </c>
      <c r="C185" s="36" t="n">
        <v>2931.8</v>
      </c>
      <c r="D185" s="36" t="n">
        <v>1380</v>
      </c>
      <c r="E185" s="36">
        <f>C185-D185</f>
        <v/>
      </c>
    </row>
    <row r="186" ht="15" customHeight="1" s="22">
      <c r="A186" s="31" t="n">
        <v>45001.8</v>
      </c>
      <c r="B186" s="35" t="n">
        <v>45.0018</v>
      </c>
      <c r="C186" s="36" t="n">
        <v>2778.2</v>
      </c>
      <c r="D186" s="36" t="n">
        <v>1382.4</v>
      </c>
      <c r="E186" s="36">
        <f>C186-D186</f>
        <v/>
      </c>
    </row>
    <row r="187" ht="15" customHeight="1" s="22">
      <c r="A187" s="31" t="n">
        <v>45245.6</v>
      </c>
      <c r="B187" s="35" t="n">
        <v>45.2456</v>
      </c>
      <c r="C187" s="36" t="n">
        <v>2623.7</v>
      </c>
      <c r="D187" s="36" t="n">
        <v>1384.7</v>
      </c>
      <c r="E187" s="36">
        <f>C187-D187</f>
        <v/>
      </c>
    </row>
    <row r="188" ht="15" customHeight="1" s="22">
      <c r="A188" s="31" t="n">
        <v>45489.4</v>
      </c>
      <c r="B188" s="35" t="n">
        <v>45.4894</v>
      </c>
      <c r="C188" s="36" t="n">
        <v>2528.8</v>
      </c>
      <c r="D188" s="36" t="n">
        <v>1387</v>
      </c>
      <c r="E188" s="36">
        <f>C188-D188</f>
        <v/>
      </c>
    </row>
    <row r="189" ht="15" customHeight="1" s="22">
      <c r="A189" s="31" t="n">
        <v>45733.2</v>
      </c>
      <c r="B189" s="35" t="n">
        <v>45.7332</v>
      </c>
      <c r="C189" s="36" t="n">
        <v>2504.9</v>
      </c>
      <c r="D189" s="36" t="n">
        <v>1389.4</v>
      </c>
      <c r="E189" s="36">
        <f>C189-D189</f>
        <v/>
      </c>
    </row>
    <row r="190" ht="15" customHeight="1" s="22">
      <c r="A190" s="31" t="n">
        <v>46011.9</v>
      </c>
      <c r="B190" s="35" t="n">
        <v>46.0119</v>
      </c>
      <c r="C190" s="36" t="n">
        <v>2450.4</v>
      </c>
      <c r="D190" s="36" t="n">
        <v>1392.1</v>
      </c>
      <c r="E190" s="36">
        <f>C190-D190</f>
        <v/>
      </c>
    </row>
    <row r="191" ht="15" customHeight="1" s="22">
      <c r="A191" s="31" t="n">
        <v>46255.7</v>
      </c>
      <c r="B191" s="35" t="n">
        <v>46.2557</v>
      </c>
      <c r="C191" s="36" t="n">
        <v>2375.3</v>
      </c>
      <c r="D191" s="36" t="n">
        <v>1394.4</v>
      </c>
      <c r="E191" s="36">
        <f>C191-D191</f>
        <v/>
      </c>
    </row>
    <row r="192" ht="15" customHeight="1" s="22">
      <c r="A192" s="31" t="n">
        <v>46499.5</v>
      </c>
      <c r="B192" s="35" t="n">
        <v>46.4995</v>
      </c>
      <c r="C192" s="36" t="n">
        <v>2307.4</v>
      </c>
      <c r="D192" s="36" t="n">
        <v>1396.7</v>
      </c>
      <c r="E192" s="36">
        <f>C192-D192</f>
        <v/>
      </c>
    </row>
    <row r="193" ht="15" customHeight="1" s="22">
      <c r="A193" s="31" t="n">
        <v>46743.3</v>
      </c>
      <c r="B193" s="35" t="n">
        <v>46.7433</v>
      </c>
      <c r="C193" s="36" t="n">
        <v>2209.4</v>
      </c>
      <c r="D193" s="36" t="n">
        <v>1399.1</v>
      </c>
      <c r="E193" s="36">
        <f>C193-D193</f>
        <v/>
      </c>
    </row>
    <row r="194" ht="15" customHeight="1" s="22">
      <c r="A194" s="31" t="n">
        <v>46987.2</v>
      </c>
      <c r="B194" s="35" t="n">
        <v>46.9872</v>
      </c>
      <c r="C194" s="36" t="n">
        <v>2176.4</v>
      </c>
      <c r="D194" s="36" t="n">
        <v>1401.4</v>
      </c>
      <c r="E194" s="36">
        <f>C194-D194</f>
        <v/>
      </c>
    </row>
    <row r="195" ht="15" customHeight="1" s="22">
      <c r="A195" s="31" t="n">
        <v>47265.8</v>
      </c>
      <c r="B195" s="35" t="n">
        <v>47.2658</v>
      </c>
      <c r="C195" s="36" t="n">
        <v>2121.2</v>
      </c>
      <c r="D195" s="36" t="n">
        <v>1404.1</v>
      </c>
      <c r="E195" s="36">
        <f>C195-D195</f>
        <v/>
      </c>
    </row>
    <row r="196" ht="15" customHeight="1" s="22">
      <c r="A196" s="31" t="n">
        <v>47509.6</v>
      </c>
      <c r="B196" s="35" t="n">
        <v>47.5096</v>
      </c>
      <c r="C196" s="36" t="n">
        <v>2146.3</v>
      </c>
      <c r="D196" s="36" t="n">
        <v>1406.4</v>
      </c>
      <c r="E196" s="36">
        <f>C196-D196</f>
        <v/>
      </c>
    </row>
    <row r="197" ht="15" customHeight="1" s="22">
      <c r="A197" s="31" t="n">
        <v>47753.4</v>
      </c>
      <c r="B197" s="35" t="n">
        <v>47.7534</v>
      </c>
      <c r="C197" s="36" t="n">
        <v>2260.4</v>
      </c>
      <c r="D197" s="36" t="n">
        <v>1408.8</v>
      </c>
      <c r="E197" s="36">
        <f>C197-D197</f>
        <v/>
      </c>
    </row>
    <row r="198" ht="15" customHeight="1" s="22">
      <c r="A198" s="31" t="n">
        <v>47997.3</v>
      </c>
      <c r="B198" s="35" t="n">
        <v>47.9973</v>
      </c>
      <c r="C198" s="36" t="n">
        <v>2199.8</v>
      </c>
      <c r="D198" s="36" t="n">
        <v>1411.1</v>
      </c>
      <c r="E198" s="36">
        <f>C198-D198</f>
        <v/>
      </c>
    </row>
    <row r="199" ht="15" customHeight="1" s="22">
      <c r="A199" s="31" t="n">
        <v>48241.1</v>
      </c>
      <c r="B199" s="35" t="n">
        <v>48.2411</v>
      </c>
      <c r="C199" s="36" t="n">
        <v>2319</v>
      </c>
      <c r="D199" s="36" t="n">
        <v>1413.4</v>
      </c>
      <c r="E199" s="36">
        <f>C199-D199</f>
        <v/>
      </c>
    </row>
    <row r="200" ht="15" customHeight="1" s="22">
      <c r="A200" s="31" t="n">
        <v>48484.9</v>
      </c>
      <c r="B200" s="35" t="n">
        <v>48.4849</v>
      </c>
      <c r="C200" s="36" t="n">
        <v>2275.8</v>
      </c>
      <c r="D200" s="36" t="n">
        <v>1415.8</v>
      </c>
      <c r="E200" s="36">
        <f>C200-D200</f>
        <v/>
      </c>
    </row>
    <row r="201" ht="15" customHeight="1" s="22">
      <c r="A201" s="31" t="n">
        <v>48763.5</v>
      </c>
      <c r="B201" s="35" t="n">
        <v>48.7635</v>
      </c>
      <c r="C201" s="36" t="n">
        <v>2406.9</v>
      </c>
      <c r="D201" s="36" t="n">
        <v>1418.4</v>
      </c>
      <c r="E201" s="36">
        <f>C201-D201</f>
        <v/>
      </c>
    </row>
    <row r="202" ht="15" customHeight="1" s="22">
      <c r="A202" s="31" t="n">
        <v>49007.4</v>
      </c>
      <c r="B202" s="35" t="n">
        <v>49.0074</v>
      </c>
      <c r="C202" s="36" t="n">
        <v>2469.3</v>
      </c>
      <c r="D202" s="36" t="n">
        <v>1420.8</v>
      </c>
      <c r="E202" s="36">
        <f>C202-D202</f>
        <v/>
      </c>
    </row>
    <row r="203" ht="15" customHeight="1" s="22">
      <c r="A203" s="31" t="n">
        <v>49251.2</v>
      </c>
      <c r="B203" s="35" t="n">
        <v>49.2512</v>
      </c>
      <c r="C203" s="36" t="n">
        <v>2476.8</v>
      </c>
      <c r="D203" s="36" t="n">
        <v>1423.1</v>
      </c>
      <c r="E203" s="36">
        <f>C203-D203</f>
        <v/>
      </c>
    </row>
    <row r="204" ht="15" customHeight="1" s="22">
      <c r="A204" s="31" t="n">
        <v>49495</v>
      </c>
      <c r="B204" s="35" t="n">
        <v>49.495</v>
      </c>
      <c r="C204" s="36" t="n">
        <v>2307.4</v>
      </c>
      <c r="D204" s="36" t="n">
        <v>1425.4</v>
      </c>
      <c r="E204" s="36">
        <f>C204-D204</f>
        <v/>
      </c>
    </row>
    <row r="205" ht="15" customHeight="1" s="22">
      <c r="A205" s="31" t="n">
        <v>49738.8</v>
      </c>
      <c r="B205" s="35" t="n">
        <v>49.7388</v>
      </c>
      <c r="C205" s="36" t="n">
        <v>2185.2</v>
      </c>
      <c r="D205" s="36" t="n">
        <v>1427.8</v>
      </c>
      <c r="E205" s="36">
        <f>C205-D205</f>
        <v/>
      </c>
    </row>
    <row r="206" ht="15" customHeight="1" s="22">
      <c r="A206" s="31" t="n">
        <v>49982.6</v>
      </c>
      <c r="B206" s="35" t="n">
        <v>49.9826</v>
      </c>
      <c r="C206" s="36" t="n">
        <v>2054.9</v>
      </c>
      <c r="D206" s="36" t="n">
        <v>1430.1</v>
      </c>
      <c r="E206" s="36">
        <f>C206-D206</f>
        <v/>
      </c>
    </row>
    <row r="207" ht="15" customHeight="1" s="22">
      <c r="A207" s="31" t="n">
        <v>50261.3</v>
      </c>
      <c r="B207" s="35" t="n">
        <v>50.2613</v>
      </c>
      <c r="C207" s="36" t="n">
        <v>1916.6</v>
      </c>
      <c r="D207" s="36" t="n">
        <v>1432.8</v>
      </c>
      <c r="E207" s="36">
        <f>C207-D207</f>
        <v/>
      </c>
    </row>
    <row r="208" ht="15" customHeight="1" s="22">
      <c r="A208" s="31" t="n">
        <v>50505.1</v>
      </c>
      <c r="B208" s="35" t="n">
        <v>50.5051</v>
      </c>
      <c r="C208" s="36" t="n">
        <v>1843</v>
      </c>
      <c r="D208" s="36" t="n">
        <v>1435.1</v>
      </c>
      <c r="E208" s="36">
        <f>C208-D208</f>
        <v/>
      </c>
    </row>
    <row r="209" ht="15" customHeight="1" s="22">
      <c r="A209" s="31" t="n">
        <v>50748.9</v>
      </c>
      <c r="B209" s="35" t="n">
        <v>50.7489</v>
      </c>
      <c r="C209" s="36" t="n">
        <v>1760.1</v>
      </c>
      <c r="D209" s="36" t="n">
        <v>1437.5</v>
      </c>
      <c r="E209" s="36">
        <f>C209-D209</f>
        <v/>
      </c>
    </row>
    <row r="210" ht="15" customHeight="1" s="22">
      <c r="A210" s="31" t="n">
        <v>50992.7</v>
      </c>
      <c r="B210" s="35" t="n">
        <v>50.9927</v>
      </c>
      <c r="C210" s="36" t="n">
        <v>1705.7</v>
      </c>
      <c r="D210" s="36" t="n">
        <v>1439.8</v>
      </c>
      <c r="E210" s="36">
        <f>C210-D210</f>
        <v/>
      </c>
    </row>
    <row r="211" ht="15" customHeight="1" s="22">
      <c r="A211" s="31" t="n">
        <v>51236.5</v>
      </c>
      <c r="B211" s="35" t="n">
        <v>51.2365</v>
      </c>
      <c r="C211" s="36" t="n">
        <v>1641.5</v>
      </c>
      <c r="D211" s="36" t="n">
        <v>1442.1</v>
      </c>
      <c r="E211" s="36">
        <f>C211-D211</f>
        <v/>
      </c>
    </row>
    <row r="212" ht="15" customHeight="1" s="22">
      <c r="A212" s="31" t="n">
        <v>51515.2</v>
      </c>
      <c r="B212" s="35" t="n">
        <v>51.5152</v>
      </c>
      <c r="C212" s="36" t="n">
        <v>1585.1</v>
      </c>
      <c r="D212" s="36" t="n">
        <v>1444.8</v>
      </c>
      <c r="E212" s="36">
        <f>C212-D212</f>
        <v/>
      </c>
    </row>
    <row r="213" ht="15" customHeight="1" s="22">
      <c r="A213" s="31" t="n">
        <v>51759</v>
      </c>
      <c r="B213" s="35" t="n">
        <v>51.759</v>
      </c>
      <c r="C213" s="36" t="n">
        <v>1547.1</v>
      </c>
      <c r="D213" s="36" t="n">
        <v>1447.2</v>
      </c>
      <c r="E213" s="36">
        <f>C213-D213</f>
        <v/>
      </c>
    </row>
    <row r="214" ht="15" customHeight="1" s="22">
      <c r="A214" s="31" t="n">
        <v>52002.8</v>
      </c>
      <c r="B214" s="35" t="n">
        <v>52.0028</v>
      </c>
      <c r="C214" s="36" t="n">
        <v>1468.7</v>
      </c>
      <c r="D214" s="36" t="n">
        <v>1449.5</v>
      </c>
      <c r="E214" s="36">
        <f>C214-D214</f>
        <v/>
      </c>
    </row>
    <row r="215" ht="15" customHeight="1" s="22">
      <c r="A215" s="31" t="n">
        <v>52211.8</v>
      </c>
      <c r="B215" s="35" t="n">
        <v>52.2118</v>
      </c>
      <c r="C215" s="36" t="n">
        <v>1451.5</v>
      </c>
      <c r="D215" s="36" t="n">
        <v>1451.5</v>
      </c>
      <c r="E215" s="36">
        <f>C215-D215</f>
        <v/>
      </c>
    </row>
    <row r="216" ht="15" customHeight="1" s="22">
      <c r="A216" s="31" t="n"/>
      <c r="B216" s="35" t="n"/>
      <c r="C216" s="36" t="n"/>
      <c r="D216" s="36" t="n"/>
      <c r="E216" s="36" t="n"/>
    </row>
    <row r="217" ht="15" customHeight="1" s="22">
      <c r="A217" s="31" t="n"/>
      <c r="B217" s="35" t="n"/>
      <c r="C217" s="36" t="n"/>
      <c r="D217" s="36" t="n"/>
      <c r="E217" s="36" t="n"/>
    </row>
    <row r="218" ht="15" customHeight="1" s="22">
      <c r="A218" s="31" t="n"/>
      <c r="B218" s="35" t="n"/>
      <c r="C218" s="36" t="n"/>
      <c r="D218" s="36" t="n"/>
      <c r="E218" s="36" t="n"/>
    </row>
    <row r="219" ht="15" customHeight="1" s="22">
      <c r="A219" s="31" t="n"/>
      <c r="B219" s="35" t="n"/>
      <c r="C219" s="36" t="n"/>
      <c r="D219" s="36" t="n"/>
      <c r="E219" s="36" t="n"/>
    </row>
    <row r="220" ht="15" customHeight="1" s="22">
      <c r="A220" s="31" t="n"/>
      <c r="B220" s="35" t="n"/>
      <c r="C220" s="36" t="n"/>
      <c r="D220" s="36" t="n"/>
      <c r="E220" s="36" t="n"/>
    </row>
    <row r="221"/>
    <row r="222" ht="15" customHeight="1" s="22">
      <c r="C222" s="24" t="n"/>
      <c r="D222" s="32" t="n"/>
    </row>
    <row r="223" ht="15" customHeight="1" s="22">
      <c r="C223" s="24" t="n"/>
      <c r="D223" s="32" t="n"/>
    </row>
    <row r="224" ht="15" customHeight="1" s="22">
      <c r="C224" s="24" t="n"/>
      <c r="D224" s="32" t="n"/>
    </row>
    <row r="225" ht="15" customHeight="1" s="22">
      <c r="C225" s="24" t="n"/>
      <c r="D225" s="32" t="n"/>
    </row>
    <row r="226" ht="15" customHeight="1" s="22">
      <c r="C226" s="24" t="n"/>
      <c r="D226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1" min="1" max="1"/>
    <col width="12" customWidth="1" style="21" min="2" max="3"/>
    <col width="16" customWidth="1" style="21" min="4" max="4"/>
    <col width="14" customWidth="1" style="21" min="5" max="5"/>
    <col width="12" customWidth="1" style="21" min="6" max="6"/>
  </cols>
  <sheetData>
    <row r="1" ht="16.15" customHeight="1" s="22">
      <c r="A1" s="23" t="inlineStr">
        <is>
          <t>DISTRIBUCIÓN DE COBERTURA POR RANGOS</t>
        </is>
      </c>
    </row>
    <row r="2" ht="15" customHeight="1" s="22">
      <c r="A2" s="24" t="inlineStr">
        <is>
          <t>Datos de la barra apilada de cobertura_tunel.pdf · insumo del OE 4</t>
        </is>
      </c>
    </row>
    <row r="3" ht="15" customHeight="1" s="22">
      <c r="A3" s="24" t="inlineStr">
        <is>
          <t>ADVERTENCIA: los cinco rangos son una clasificación propia del semillero, NO una norma [H]</t>
        </is>
      </c>
    </row>
    <row r="4" ht="15" customHeight="1" s="22">
      <c r="A4" s="24" t="n"/>
    </row>
    <row r="5" ht="15" customHeight="1" s="22">
      <c r="A5" s="25" t="inlineStr">
        <is>
          <t>Rango</t>
        </is>
      </c>
      <c r="B5" s="25" t="inlineStr">
        <is>
          <t>Desde (m)</t>
        </is>
      </c>
      <c r="C5" s="25" t="inlineStr">
        <is>
          <t>Hasta (m)</t>
        </is>
      </c>
      <c r="D5" s="25" t="inlineStr">
        <is>
          <t>Longitud (km)</t>
        </is>
      </c>
      <c r="E5" s="25" t="inlineStr">
        <is>
          <t>Porcentaje</t>
        </is>
      </c>
      <c r="F5" s="25" t="inlineStr">
        <is>
          <t>Puntos</t>
        </is>
      </c>
    </row>
    <row r="6" ht="15" customHeight="1" s="22">
      <c r="A6" s="24" t="inlineStr">
        <is>
          <t>Portales y baja cobertura</t>
        </is>
      </c>
      <c r="B6" s="24" t="n">
        <v>0</v>
      </c>
      <c r="C6" s="24" t="n">
        <v>100</v>
      </c>
      <c r="D6" s="37">
        <f>F6/$F$11*52.212</f>
        <v/>
      </c>
      <c r="E6" s="38">
        <f>F6/$F$11</f>
        <v/>
      </c>
      <c r="F6" s="24" t="n">
        <v>59</v>
      </c>
    </row>
    <row r="7" ht="15" customHeight="1" s="22">
      <c r="A7" s="24" t="inlineStr">
        <is>
          <t>Cobertura baja</t>
        </is>
      </c>
      <c r="B7" s="24" t="n">
        <v>100</v>
      </c>
      <c r="C7" s="24" t="n">
        <v>300</v>
      </c>
      <c r="D7" s="37">
        <f>F7/$F$11*52.212</f>
        <v/>
      </c>
      <c r="E7" s="38">
        <f>F7/$F$11</f>
        <v/>
      </c>
      <c r="F7" s="24" t="n">
        <v>149</v>
      </c>
    </row>
    <row r="8" ht="15" customHeight="1" s="22">
      <c r="A8" s="24" t="inlineStr">
        <is>
          <t>Cobertura media</t>
        </is>
      </c>
      <c r="B8" s="24" t="n">
        <v>300</v>
      </c>
      <c r="C8" s="24" t="n">
        <v>700</v>
      </c>
      <c r="D8" s="37">
        <f>F8/$F$11*52.212</f>
        <v/>
      </c>
      <c r="E8" s="38">
        <f>F8/$F$11</f>
        <v/>
      </c>
      <c r="F8" s="24" t="n">
        <v>381</v>
      </c>
    </row>
    <row r="9" ht="15" customHeight="1" s="22">
      <c r="A9" s="24" t="inlineStr">
        <is>
          <t>Cobertura alta</t>
        </is>
      </c>
      <c r="B9" s="24" t="n">
        <v>700</v>
      </c>
      <c r="C9" s="24" t="n">
        <v>1200</v>
      </c>
      <c r="D9" s="37">
        <f>F9/$F$11*52.212</f>
        <v/>
      </c>
      <c r="E9" s="38">
        <f>F9/$F$11</f>
        <v/>
      </c>
      <c r="F9" s="24" t="n">
        <v>609</v>
      </c>
    </row>
    <row r="10" ht="15" customHeight="1" s="22">
      <c r="A10" s="24" t="inlineStr">
        <is>
          <t>Cobertura muy alta</t>
        </is>
      </c>
      <c r="B10" s="24" t="n">
        <v>1200</v>
      </c>
      <c r="C10" s="24" t="n"/>
      <c r="D10" s="37">
        <f>F10/$F$11*52.212</f>
        <v/>
      </c>
      <c r="E10" s="38">
        <f>F10/$F$11</f>
        <v/>
      </c>
      <c r="F10" s="24" t="n">
        <v>302</v>
      </c>
    </row>
    <row r="11" ht="15" customHeight="1" s="22">
      <c r="A11" s="29" t="inlineStr">
        <is>
          <t>TOTAL</t>
        </is>
      </c>
      <c r="D11" s="39">
        <f>SUM(D6:D10)</f>
        <v/>
      </c>
      <c r="E11" s="40">
        <f>SUM(E6:E10)</f>
        <v/>
      </c>
      <c r="F11" s="41">
        <f>1500</f>
        <v/>
      </c>
    </row>
    <row r="12"/>
    <row r="13" ht="15" customHeight="1" s="22">
      <c r="A13" s="34" t="inlineStr">
        <is>
          <t>Cobertura = cota del terreno − cota de la rasante, evaluada en 1.500 puntos del alineamiento.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1" min="1" max="1"/>
    <col width="14" customWidth="1" style="21" min="2" max="2"/>
    <col width="10" customWidth="1" style="21" min="3" max="3"/>
    <col width="8" customWidth="1" style="21" min="4" max="4"/>
    <col width="66" customWidth="1" style="21" min="5" max="5"/>
  </cols>
  <sheetData>
    <row r="1" ht="16.15" customHeight="1" s="22">
      <c r="A1" s="23" t="inlineStr">
        <is>
          <t>RESULTADOS DEL OBJETIVO ESPECÍFICO 1</t>
        </is>
      </c>
    </row>
    <row r="2" ht="15" customHeight="1" s="22">
      <c r="A2" s="24" t="inlineStr">
        <is>
          <t>Semillero GEOPAV · Paz y Región 2026B · Responsable: Tamayo Osorio Miguel Ángel</t>
        </is>
      </c>
    </row>
    <row r="3" ht="15" customHeight="1" s="22">
      <c r="A3" s="24" t="n"/>
    </row>
    <row r="4" ht="15" customHeight="1" s="22">
      <c r="A4" s="25" t="inlineStr">
        <is>
          <t>Resultado</t>
        </is>
      </c>
      <c r="B4" s="25" t="inlineStr">
        <is>
          <t>Valor</t>
        </is>
      </c>
      <c r="C4" s="25" t="inlineStr">
        <is>
          <t>Unidad</t>
        </is>
      </c>
      <c r="D4" s="25" t="inlineStr">
        <is>
          <t>Marca</t>
        </is>
      </c>
      <c r="E4" s="25" t="inlineStr">
        <is>
          <t>Cómo se obtuvo</t>
        </is>
      </c>
    </row>
    <row r="5" ht="15" customHeight="1" s="22">
      <c r="A5" s="24" t="inlineStr">
        <is>
          <t>Longitud del alineamiento</t>
        </is>
      </c>
      <c r="B5" s="42" t="n">
        <v>52.212</v>
      </c>
      <c r="C5" s="24" t="inlineStr">
        <is>
          <t>km</t>
        </is>
      </c>
      <c r="D5" s="27" t="inlineStr">
        <is>
          <t>CP</t>
        </is>
      </c>
      <c r="E5" s="24" t="inlineStr">
        <is>
          <t>Distancia geodésica (WGS84) entre los portales adoptados, elipsoide WGS84.</t>
        </is>
      </c>
    </row>
    <row r="6" ht="15" customHeight="1" s="22">
      <c r="A6" s="24" t="inlineStr">
        <is>
          <t>Cota portal oriental obtenida</t>
        </is>
      </c>
      <c r="B6" s="42" t="n">
        <v>951</v>
      </c>
      <c r="C6" s="24" t="inlineStr">
        <is>
          <t>msnm</t>
        </is>
      </c>
      <c r="D6" s="27" t="inlineStr">
        <is>
          <t>CP</t>
        </is>
      </c>
      <c r="E6" s="24" t="inlineStr">
        <is>
          <t>Píxel del DEM más cercano a 950 msnm [F, p.20] dentro de la ventana de búsqueda, con tolerancia 2 m [H].</t>
        </is>
      </c>
    </row>
    <row r="7" ht="15" customHeight="1" s="22">
      <c r="A7" s="24" t="inlineStr">
        <is>
          <t>Cota portal occidental obtenida</t>
        </is>
      </c>
      <c r="B7" s="42" t="n">
        <v>1451.5</v>
      </c>
      <c r="C7" s="24" t="inlineStr">
        <is>
          <t>msnm</t>
        </is>
      </c>
      <c r="D7" s="27" t="inlineStr">
        <is>
          <t>CP</t>
        </is>
      </c>
      <c r="E7" s="24" t="inlineStr">
        <is>
          <t>Píxel del DEM más cercano a 1450 msnm [F, p.20] dentro de la ventana de búsqueda, con tolerancia 2 m [H].</t>
        </is>
      </c>
    </row>
    <row r="8" ht="15" customHeight="1" s="22">
      <c r="A8" s="24" t="inlineStr">
        <is>
          <t>Desnivel entre portales</t>
        </is>
      </c>
      <c r="B8" s="42" t="n">
        <v>500.5</v>
      </c>
      <c r="C8" s="24" t="inlineStr">
        <is>
          <t>m</t>
        </is>
      </c>
      <c r="D8" s="27" t="inlineStr">
        <is>
          <t>CP</t>
        </is>
      </c>
      <c r="E8" s="24" t="inlineStr">
        <is>
          <t>1451,5 − 951,0</t>
        </is>
      </c>
    </row>
    <row r="9" ht="15" customHeight="1" s="22">
      <c r="A9" s="24" t="inlineStr">
        <is>
          <t>Pendiente longitudinal de rasante</t>
        </is>
      </c>
      <c r="B9" s="42" t="n">
        <v>0.9587</v>
      </c>
      <c r="C9" s="24" t="inlineStr">
        <is>
          <t>%</t>
        </is>
      </c>
      <c r="D9" s="27" t="inlineStr">
        <is>
          <t>CP</t>
        </is>
      </c>
      <c r="E9" s="24" t="inlineStr">
        <is>
          <t>100 × 500,5 / 52.211,8. Cumple el criterio adoptado de 1,5 % [H].</t>
        </is>
      </c>
    </row>
    <row r="10" ht="15" customHeight="1" s="22">
      <c r="A10" s="24" t="inlineStr">
        <is>
          <t>Cobertura máxima</t>
        </is>
      </c>
      <c r="B10" s="42" t="n">
        <v>2031.4</v>
      </c>
      <c r="C10" s="24" t="inlineStr">
        <is>
          <t>m</t>
        </is>
      </c>
      <c r="D10" s="27" t="inlineStr">
        <is>
          <t>CP</t>
        </is>
      </c>
      <c r="E10" s="24" t="inlineStr">
        <is>
          <t>Máximo de (terreno − rasante) sobre 1.500 puntos del alineamiento.</t>
        </is>
      </c>
    </row>
    <row r="11" ht="15" customHeight="1" s="22">
      <c r="A11" s="24" t="inlineStr">
        <is>
          <t>Cobertura media</t>
        </is>
      </c>
      <c r="B11" s="42" t="n">
        <v>840.3</v>
      </c>
      <c r="C11" s="24" t="inlineStr">
        <is>
          <t>m</t>
        </is>
      </c>
      <c r="D11" s="27" t="inlineStr">
        <is>
          <t>CP</t>
        </is>
      </c>
      <c r="E11" s="24" t="inlineStr">
        <is>
          <t>Promedio de (terreno − rasante) sobre 1.500 puntos del alineamiento.</t>
        </is>
      </c>
    </row>
    <row r="12" ht="15" customHeight="1" s="22">
      <c r="A12" s="24" t="inlineStr">
        <is>
          <t>Cota máxima del terreno sobre el trazado</t>
        </is>
      </c>
      <c r="B12" s="42" t="n">
        <v>3393</v>
      </c>
      <c r="C12" s="24" t="inlineStr">
        <is>
          <t>msnm</t>
        </is>
      </c>
      <c r="D12" s="27" t="inlineStr">
        <is>
          <t>CP</t>
        </is>
      </c>
      <c r="E12" s="24" t="inlineStr">
        <is>
          <t>Máximo del perfil, sobre el eje del túnel. NO comparable con los 3.300 msnm que la ponencia declara para el paso carretero actual [F, p.20]: son dos puntos distintos del mapa. Afirmación de convergencia retirada por falsa el 9 sep 2026.</t>
        </is>
      </c>
    </row>
    <row r="13" ht="15" customHeight="1" s="22">
      <c r="A13" s="24" t="inlineStr">
        <is>
          <t>Trazado con cobertura &gt; 700 m</t>
        </is>
      </c>
      <c r="B13" s="42" t="n">
        <v>60.7</v>
      </c>
      <c r="C13" s="24" t="inlineStr">
        <is>
          <t>%</t>
        </is>
      </c>
      <c r="D13" s="27" t="inlineStr">
        <is>
          <t>CP</t>
        </is>
      </c>
      <c r="E13" s="24" t="inlineStr">
        <is>
          <t>Suma de los dos rangos superiores de la hoja 4. Insumo para el OE 4.</t>
        </is>
      </c>
    </row>
    <row r="14"/>
    <row r="15"/>
    <row r="16" ht="15" customHeight="1" s="22">
      <c r="A16" s="28" t="inlineStr">
        <is>
          <t>LIMITACIONES DECLARADAS</t>
        </is>
      </c>
    </row>
    <row r="17" ht="15" customHeight="1" s="22">
      <c r="A17" s="24" t="inlineStr">
        <is>
          <t>1. La posición de los portales responde a un criterio geométrico (par que minimiza la distancia), no geotécnico, y la deciden DOS parámetros declarados como hipótesis: la tolerancia de cota (hoja 6) y la ventana de búsqueda (hoja 7). Variar la tolerancia entre 2 y 15 m mueve la longitud 690 m; ampliar la ventana oriental la acorta 2.478 m y traslada el portal a Rovira. Debe cruzarse con el OE 3.</t>
        </is>
      </c>
    </row>
    <row r="18" ht="15" customHeight="1" s="22">
      <c r="A18" s="24" t="inlineStr">
        <is>
          <t>2. El DEM de ~30 m sirve para prefactibilidad. No constituye un diseño geométrico ni sustituye un levantamiento topográfico.</t>
        </is>
      </c>
    </row>
    <row r="19" ht="15" customHeight="1" s="22">
      <c r="A19" s="24" t="inlineStr">
        <is>
          <t>3. La rasante es una recta entre portales. Un diseño real requiere acuerdos verticales y contrapendientes de drenaje.</t>
        </is>
      </c>
    </row>
    <row r="20" ht="15" customHeight="1" s="22">
      <c r="A20" s="24" t="inlineStr">
        <is>
          <t>4. El criterio de pendiente &lt; 1,5 % es una hipótesis del semillero; la ponencia no declara pendiente.</t>
        </is>
      </c>
    </row>
    <row r="21" ht="15" customHeight="1" s="22">
      <c r="A21" s="24" t="inlineStr">
        <is>
          <t>5. Los rangos de cobertura son una clasificación propia, no una norma técnica.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5" customWidth="1" style="22" min="1" max="1"/>
    <col width="14" customWidth="1" style="22" min="2" max="2"/>
    <col width="14" customWidth="1" style="22" min="3" max="3"/>
    <col width="20" customWidth="1" style="22" min="4" max="4"/>
    <col width="20" customWidth="1" style="22" min="5" max="5"/>
    <col width="14" customWidth="1" style="22" min="6" max="6"/>
    <col width="14" customWidth="1" style="22" min="7" max="7"/>
    <col width="14" customWidth="1" style="22" min="8" max="8"/>
    <col width="18" customWidth="1" style="22" min="9" max="9"/>
    <col width="18" customWidth="1" style="22" min="10" max="10"/>
    <col width="20" customWidth="1" style="22" min="11" max="11"/>
  </cols>
  <sheetData>
    <row r="1">
      <c r="A1" s="23" t="inlineStr">
        <is>
          <t>SENSIBILIDAD A LA TOLERANCIA DE COTA DE PORTAL</t>
        </is>
      </c>
    </row>
    <row r="2">
      <c r="A2" s="21" t="inlineStr">
        <is>
          <t>La tolerancia con que se acepta que un píxel «está» a la cota objetivo no es un detalle: es lo que decide dónde caen los portales.</t>
        </is>
      </c>
    </row>
    <row r="3">
      <c r="A3" s="21" t="inlineStr">
        <is>
          <t>Todas las filas usan el mismo método y el mismo DEM. Solo cambia TOL. La fila resaltada es la adoptada.</t>
        </is>
      </c>
    </row>
    <row r="4"/>
    <row r="5">
      <c r="A5" s="25" t="inlineStr">
        <is>
          <t>Tolerancia (m)</t>
        </is>
      </c>
      <c r="B5" s="25" t="inlineStr">
        <is>
          <t>Candidatos E</t>
        </is>
      </c>
      <c r="C5" s="25" t="inlineStr">
        <is>
          <t>Candidatos W</t>
        </is>
      </c>
      <c r="D5" s="25" t="inlineStr">
        <is>
          <t>Cota portal E (msnm)</t>
        </is>
      </c>
      <c r="E5" s="25" t="inlineStr">
        <is>
          <t>Cota portal W (msnm)</t>
        </is>
      </c>
      <c r="F5" s="25" t="inlineStr">
        <is>
          <t>Longitud (m)</t>
        </is>
      </c>
      <c r="G5" s="25" t="inlineStr">
        <is>
          <t>Desnivel (m)</t>
        </is>
      </c>
      <c r="H5" s="25" t="inlineStr">
        <is>
          <t>Pendiente (%)</t>
        </is>
      </c>
      <c r="I5" s="25" t="inlineStr">
        <is>
          <t>Cobertura máx (m)</t>
        </is>
      </c>
      <c r="J5" s="25" t="inlineStr">
        <is>
          <t>Cobertura mín (m)</t>
        </is>
      </c>
      <c r="K5" s="25" t="inlineStr">
        <is>
          <t>Trazado &gt; 700 m (%)</t>
        </is>
      </c>
    </row>
    <row r="6">
      <c r="A6" s="24" t="n">
        <v>2</v>
      </c>
      <c r="B6" s="24" t="n">
        <v>57</v>
      </c>
      <c r="C6" s="24" t="n">
        <v>47</v>
      </c>
      <c r="D6" s="24" t="n">
        <v>951</v>
      </c>
      <c r="E6" s="24" t="n">
        <v>1451.5</v>
      </c>
      <c r="F6" s="24" t="n">
        <v>52211.8</v>
      </c>
      <c r="G6" s="24" t="n">
        <v>500.5</v>
      </c>
      <c r="H6" s="24" t="n">
        <v>0.9587</v>
      </c>
      <c r="I6" s="24" t="n">
        <v>2031.4</v>
      </c>
      <c r="J6" s="24" t="n">
        <v>0</v>
      </c>
      <c r="K6" s="24" t="n">
        <v>60.7</v>
      </c>
    </row>
    <row r="7">
      <c r="A7" s="24" t="n">
        <v>5</v>
      </c>
      <c r="B7" s="24" t="n">
        <v>130</v>
      </c>
      <c r="C7" s="24" t="n">
        <v>137</v>
      </c>
      <c r="D7" s="24" t="n">
        <v>951</v>
      </c>
      <c r="E7" s="24" t="n">
        <v>1446</v>
      </c>
      <c r="F7" s="24" t="n">
        <v>52135.9</v>
      </c>
      <c r="G7" s="24" t="n">
        <v>495.1</v>
      </c>
      <c r="H7" s="24" t="n">
        <v>0.9496</v>
      </c>
      <c r="I7" s="24" t="n">
        <v>2033.1</v>
      </c>
      <c r="J7" s="24" t="n">
        <v>0</v>
      </c>
      <c r="K7" s="24" t="n">
        <v>54.1</v>
      </c>
    </row>
    <row r="8">
      <c r="A8" s="24" t="n">
        <v>10</v>
      </c>
      <c r="B8" s="24" t="n">
        <v>262</v>
      </c>
      <c r="C8" s="24" t="n">
        <v>249</v>
      </c>
      <c r="D8" s="24" t="n">
        <v>959.1</v>
      </c>
      <c r="E8" s="24" t="n">
        <v>1455.6</v>
      </c>
      <c r="F8" s="24" t="n">
        <v>52065.7</v>
      </c>
      <c r="G8" s="24" t="n">
        <v>496.6</v>
      </c>
      <c r="H8" s="24" t="n">
        <v>0.9538</v>
      </c>
      <c r="I8" s="24" t="n">
        <v>1972.2</v>
      </c>
      <c r="J8" s="24" t="n">
        <v>0</v>
      </c>
      <c r="K8" s="24" t="n">
        <v>52.5</v>
      </c>
    </row>
    <row r="9">
      <c r="A9" s="24" t="n">
        <v>15</v>
      </c>
      <c r="B9" s="24" t="n">
        <v>396</v>
      </c>
      <c r="C9" s="24" t="n">
        <v>380</v>
      </c>
      <c r="D9" s="24" t="n">
        <v>960.9</v>
      </c>
      <c r="E9" s="24" t="n">
        <v>1436.4</v>
      </c>
      <c r="F9" s="24" t="n">
        <v>51522.8</v>
      </c>
      <c r="G9" s="24" t="n">
        <v>475.5</v>
      </c>
      <c r="H9" s="24" t="n">
        <v>0.9229000000000001</v>
      </c>
      <c r="I9" s="24" t="n">
        <v>1968.9</v>
      </c>
      <c r="J9" s="24" t="n">
        <v>-3.9</v>
      </c>
      <c r="K9" s="24" t="n">
        <v>49.1</v>
      </c>
    </row>
    <row r="10"/>
    <row r="11">
      <c r="A11" s="21" t="inlineStr">
        <is>
          <t>Marca: CP. Generado por Act3_Geoprocesos/procesamiento_OE1.py; fuente Act2_Portales/portales_sensibilidad.csv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2" customWidth="1" style="22" min="1" max="1"/>
    <col width="13" customWidth="1" style="22" min="2" max="2"/>
    <col width="13" customWidth="1" style="22" min="3" max="3"/>
    <col width="13" customWidth="1" style="22" min="4" max="4"/>
    <col width="13" customWidth="1" style="22" min="5" max="5"/>
    <col width="20" customWidth="1" style="22" min="6" max="6"/>
    <col width="20" customWidth="1" style="22" min="7" max="7"/>
    <col width="13" customWidth="1" style="22" min="8" max="8"/>
    <col width="13" customWidth="1" style="22" min="9" max="9"/>
    <col width="20" customWidth="1" style="22" min="10" max="10"/>
    <col width="20" customWidth="1" style="22" min="11" max="11"/>
    <col width="14" customWidth="1" style="22" min="12" max="12"/>
    <col width="14" customWidth="1" style="22" min="13" max="13"/>
    <col width="26" customWidth="1" style="22" min="14" max="14"/>
  </cols>
  <sheetData>
    <row r="1">
      <c r="A1" s="23" t="inlineStr">
        <is>
          <t>SENSIBILIDAD A LA VENTANA DE BÚSQUEDA DE PORTALES</t>
        </is>
      </c>
    </row>
    <row r="2">
      <c r="A2" s="21" t="inlineStr">
        <is>
          <t>La búsqueda no barre todo el corredor: se restringe a dos rectángulos. El criterio empuja el portal oriental hacia el oeste y la ventana lo frena.</t>
        </is>
      </c>
    </row>
    <row r="3">
      <c r="A3" s="21" t="inlineStr">
        <is>
          <t>Todas las filas usan el mismo método, el mismo DEM y la misma tolerancia de 2 m. Solo cambian los rectángulos. La fila resaltada es la adoptada.</t>
        </is>
      </c>
    </row>
    <row r="4"/>
    <row r="5">
      <c r="A5" s="25" t="inlineStr">
        <is>
          <t>Variante de ventana</t>
        </is>
      </c>
      <c r="B5" s="25" t="inlineStr">
        <is>
          <t>Candidatos E</t>
        </is>
      </c>
      <c r="C5" s="25" t="inlineStr">
        <is>
          <t>Candidatos W</t>
        </is>
      </c>
      <c r="D5" s="25" t="inlineStr">
        <is>
          <t>Lat portal E</t>
        </is>
      </c>
      <c r="E5" s="25" t="inlineStr">
        <is>
          <t>Lon portal E</t>
        </is>
      </c>
      <c r="F5" s="25" t="inlineStr">
        <is>
          <t>Cota portal E (msnm)</t>
        </is>
      </c>
      <c r="G5" s="25" t="inlineStr">
        <is>
          <t>Municipio portal E</t>
        </is>
      </c>
      <c r="H5" s="25" t="inlineStr">
        <is>
          <t>Lat portal W</t>
        </is>
      </c>
      <c r="I5" s="25" t="inlineStr">
        <is>
          <t>Lon portal W</t>
        </is>
      </c>
      <c r="J5" s="25" t="inlineStr">
        <is>
          <t>Cota portal W (msnm)</t>
        </is>
      </c>
      <c r="K5" s="25" t="inlineStr">
        <is>
          <t>Municipio portal W</t>
        </is>
      </c>
      <c r="L5" s="25" t="inlineStr">
        <is>
          <t>Longitud (m)</t>
        </is>
      </c>
      <c r="M5" s="25" t="inlineStr">
        <is>
          <t>Pendiente (%)</t>
        </is>
      </c>
      <c r="N5" s="25" t="inlineStr">
        <is>
          <t>¿Portal E pegado al borde?</t>
        </is>
      </c>
    </row>
    <row r="6">
      <c r="A6" s="24" t="inlineStr">
        <is>
          <t>adoptada</t>
        </is>
      </c>
      <c r="B6" s="24" t="n">
        <v>57</v>
      </c>
      <c r="C6" s="24" t="n">
        <v>47</v>
      </c>
      <c r="D6" s="24" t="n">
        <v>4.364</v>
      </c>
      <c r="E6" s="24" t="n">
        <v>-75.196</v>
      </c>
      <c r="F6" s="24" t="n">
        <v>951</v>
      </c>
      <c r="G6" s="24" t="inlineStr">
        <is>
          <t>Ibagué</t>
        </is>
      </c>
      <c r="H6" s="24" t="n">
        <v>4.48</v>
      </c>
      <c r="I6" s="24" t="n">
        <v>-75.652</v>
      </c>
      <c r="J6" s="24" t="n">
        <v>1451.5</v>
      </c>
      <c r="K6" s="24" t="inlineStr">
        <is>
          <t>Calarcá</t>
        </is>
      </c>
      <c r="L6" s="24" t="n">
        <v>52211.8</v>
      </c>
      <c r="M6" s="24" t="n">
        <v>0.9587</v>
      </c>
      <c r="N6" s="24" t="inlineStr">
        <is>
          <t>si</t>
        </is>
      </c>
    </row>
    <row r="7">
      <c r="A7" s="24" t="inlineStr">
        <is>
          <t>oriental ampliada</t>
        </is>
      </c>
      <c r="B7" s="24" t="n">
        <v>62</v>
      </c>
      <c r="C7" s="24" t="n">
        <v>47</v>
      </c>
      <c r="D7" s="24" t="n">
        <v>4.318</v>
      </c>
      <c r="E7" s="24" t="n">
        <v>-75.23399999999999</v>
      </c>
      <c r="F7" s="24" t="n">
        <v>950</v>
      </c>
      <c r="G7" s="24" t="inlineStr">
        <is>
          <t>Rovira</t>
        </is>
      </c>
      <c r="H7" s="24" t="n">
        <v>4.48</v>
      </c>
      <c r="I7" s="24" t="n">
        <v>-75.652</v>
      </c>
      <c r="J7" s="24" t="n">
        <v>1451.5</v>
      </c>
      <c r="K7" s="24" t="inlineStr">
        <is>
          <t>Calarcá</t>
        </is>
      </c>
      <c r="L7" s="24" t="n">
        <v>49733.7</v>
      </c>
      <c r="M7" s="24" t="n">
        <v>1.0083</v>
      </c>
      <c r="N7" s="24" t="inlineStr">
        <is>
          <t>no</t>
        </is>
      </c>
    </row>
    <row r="8">
      <c r="A8" s="24" t="inlineStr">
        <is>
          <t>occidental ampliada</t>
        </is>
      </c>
      <c r="B8" s="24" t="n">
        <v>57</v>
      </c>
      <c r="C8" s="24" t="n">
        <v>47</v>
      </c>
      <c r="D8" s="24" t="n">
        <v>4.364</v>
      </c>
      <c r="E8" s="24" t="n">
        <v>-75.196</v>
      </c>
      <c r="F8" s="24" t="n">
        <v>951</v>
      </c>
      <c r="G8" s="24" t="inlineStr">
        <is>
          <t>Ibagué</t>
        </is>
      </c>
      <c r="H8" s="24" t="n">
        <v>4.48</v>
      </c>
      <c r="I8" s="24" t="n">
        <v>-75.652</v>
      </c>
      <c r="J8" s="24" t="n">
        <v>1451.5</v>
      </c>
      <c r="K8" s="24" t="inlineStr">
        <is>
          <t>Calarcá</t>
        </is>
      </c>
      <c r="L8" s="24" t="n">
        <v>52211.8</v>
      </c>
      <c r="M8" s="24" t="n">
        <v>0.9587</v>
      </c>
      <c r="N8" s="24" t="inlineStr">
        <is>
          <t>si</t>
        </is>
      </c>
    </row>
    <row r="9">
      <c r="A9" s="24" t="inlineStr">
        <is>
          <t>ambas ampliadas</t>
        </is>
      </c>
      <c r="B9" s="24" t="n">
        <v>64</v>
      </c>
      <c r="C9" s="24" t="n">
        <v>67</v>
      </c>
      <c r="D9" s="24" t="n">
        <v>4.318</v>
      </c>
      <c r="E9" s="24" t="n">
        <v>-75.23399999999999</v>
      </c>
      <c r="F9" s="24" t="n">
        <v>950</v>
      </c>
      <c r="G9" s="24" t="inlineStr">
        <is>
          <t>Rovira</t>
        </is>
      </c>
      <c r="H9" s="24" t="n">
        <v>4.442</v>
      </c>
      <c r="I9" s="24" t="n">
        <v>-75.664</v>
      </c>
      <c r="J9" s="24" t="n">
        <v>1448.4</v>
      </c>
      <c r="K9" s="24" t="inlineStr">
        <is>
          <t>Calarcá</t>
        </is>
      </c>
      <c r="L9" s="24" t="n">
        <v>49659.1</v>
      </c>
      <c r="M9" s="24" t="n">
        <v>1.0036</v>
      </c>
      <c r="N9" s="24" t="inlineStr">
        <is>
          <t>no</t>
        </is>
      </c>
    </row>
    <row r="10"/>
    <row r="11">
      <c r="A11" s="21" t="inlineStr">
        <is>
          <t>Conclusión: ampliar la ventana ORIENTAL acorta el túnel 2.478 m y traslada el portal a Rovira, con lo que el trazado pasaría a cruzar cinco municipios y dejaría de ser el corredor Ibagué – Armenia. Ampliar la OCCIDENTAL no cambia nada. Marca: CP. Fuente: Act2_Portales/ventanas_sensibilidad.csv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2026-09-01T20:36:37Z</dcterms:created>
  <dcterms:modified xmlns:dcterms="http://purl.org/dc/terms/" xmlns:xsi="http://www.w3.org/2001/XMLSchema-instance" xsi:type="dcterms:W3CDTF">2026-09-09T00:00:33Z</dcterms:modified>
  <cp:revision>0</cp:revision>
</cp:coreProperties>
</file>