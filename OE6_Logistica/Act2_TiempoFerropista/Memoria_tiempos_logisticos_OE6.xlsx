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Parámetros" sheetId="2" state="visible" r:id="rId4"/>
    <sheet name="Accesos" sheetId="3" state="visible" r:id="rId5"/>
    <sheet name="Ciclo" sheetId="4" state="visible" r:id="rId6"/>
    <sheet name="Comparación" sheetId="5" state="visible" r:id="rId7"/>
    <sheet name="Fuen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<sst xmlns="http://schemas.openxmlformats.org/spreadsheetml/2006/main" count="174" uniqueCount="131">
  <si>
    <t xml:space="preserve">Memoria de tiempos logísticos del sistema Ferropista</t>
  </si>
  <si>
    <t xml:space="preserve">Objetivo específico 6 · Actividad 2 — Tiempo de ciclo cabecera–cabecera con carga, desplazamiento y descarga</t>
  </si>
  <si>
    <t xml:space="preserve">Objetivo</t>
  </si>
  <si>
    <t xml:space="preserve">OE 6: Determinar la eficiencia logística del sistema intermodal Ferropista, calculando la reducción de tiempos de ciclo y de costos operativos frente a la operación actual por la Ruta 40.</t>
  </si>
  <si>
    <t xml:space="preserve">Actividad</t>
  </si>
  <si>
    <t xml:space="preserve">2. Cálculo del tiempo de ciclo del sistema Ferropista (carga, desplazamiento y descarga)</t>
  </si>
  <si>
    <t xml:space="preserve">Entregable / formato</t>
  </si>
  <si>
    <t xml:space="preserve">Memoria de tiempos logísticos · Documento Excel</t>
  </si>
  <si>
    <t xml:space="preserve">Periodo</t>
  </si>
  <si>
    <t xml:space="preserve">Bloque 2 del Plan de Acción (5 oct - 7 nov 2026)</t>
  </si>
  <si>
    <t xml:space="preserve">Responsable asignado</t>
  </si>
  <si>
    <t xml:space="preserve">Torrente Parra Daniel Ignacio</t>
  </si>
  <si>
    <t xml:space="preserve">Apoyo en la ejecución</t>
  </si>
  <si>
    <t xml:space="preserve">Tamayo Osorio Miguel Ángel, con apoyo de IA (Claude)</t>
  </si>
  <si>
    <t xml:space="preserve">Semillero</t>
  </si>
  <si>
    <t xml:space="preserve">Semillero de Investigación GEOPAV · Ingeniería Civil · Universidad de Ibagué · Paz y Región 2026B</t>
  </si>
  <si>
    <t xml:space="preserve">Fecha de elaboración</t>
  </si>
  <si>
    <t xml:space="preserve">29 sep 2026</t>
  </si>
  <si>
    <t xml:space="preserve">Advertencia</t>
  </si>
  <si>
    <t xml:space="preserve">La ubicación de las terminales no la da la fuente: se suponen en los portales del OE 1 [H]. La fuente tampoco dice cómo se reparten los 140 trenes ni las horas de servicio. Los 70 min son una cifra del proponente, no auditada.</t>
  </si>
  <si>
    <t xml:space="preserve">Índice de hojas (tabla de contenido)</t>
  </si>
  <si>
    <t xml:space="preserve">Parámetros</t>
  </si>
  <si>
    <t xml:space="preserve">Tabla 1. Ciclo de operación de la fuente, frecuencia y velocidades de acceso</t>
  </si>
  <si>
    <t xml:space="preserve">Accesos</t>
  </si>
  <si>
    <t xml:space="preserve">Tabla 2. Accesos por carretera entre cabeceras y terminales (OpenStreetMap)</t>
  </si>
  <si>
    <t xml:space="preserve">Ciclo</t>
  </si>
  <si>
    <t xml:space="preserve">Tabla 3. Tiempo de ciclo Ferropista por sentido y escenario</t>
  </si>
  <si>
    <t xml:space="preserve">Comparación</t>
  </si>
  <si>
    <t xml:space="preserve">Tabla 4. Reducción del tiempo de ciclo frente a la Ruta 40 (Act 1)</t>
  </si>
  <si>
    <t xml:space="preserve">Fuentes</t>
  </si>
  <si>
    <t xml:space="preserve">Tabla 5. Fuentes citadas y huella md5</t>
  </si>
  <si>
    <t xml:space="preserve">Índice de tablas: tablas 1 a 5 según el índice de hojas. Índice de figuras: no tiene. Índice de anexos: respuestas crudas de OSRM y Nominatim en Act2_TiempoFerropista/Datos/. Script: OE6_Logistica/Act2_TiempoFerropista/tiempo_ciclo_ferropista_OE6.py. Convención: azul = entrada leída de una fuente; verde = valor leído de otro producto del OE 6; fondo amarillo = hipótesis [H]; negro = fórmula. Marcas: [F] fuente citada · [CP] cálculo propio reproducible · [H] hipótesis declarada · [DA] dato por consultar. Elaborado con apoyo de IA (Claude) y verificado contra las fuentes.</t>
  </si>
  <si>
    <t xml:space="preserve">Tabla 1. Parámetros del ciclo Ferropista</t>
  </si>
  <si>
    <t xml:space="preserve">Parámetro</t>
  </si>
  <si>
    <t xml:space="preserve">Valor</t>
  </si>
  <si>
    <t xml:space="preserve">Unidad</t>
  </si>
  <si>
    <t xml:space="preserve">Marca / fuente</t>
  </si>
  <si>
    <t xml:space="preserve">Peaje y carga</t>
  </si>
  <si>
    <t xml:space="preserve">min</t>
  </si>
  <si>
    <t xml:space="preserve">[F, dia. 23]</t>
  </si>
  <si>
    <t xml:space="preserve">Desplazamiento</t>
  </si>
  <si>
    <t xml:space="preserve">Descarga</t>
  </si>
  <si>
    <t xml:space="preserve">Ciclo de operación (suma)</t>
  </si>
  <si>
    <t xml:space="preserve">[CP] (la fuente publica 70 min: control)</t>
  </si>
  <si>
    <t xml:space="preserve">Trenes por día, fase inicial</t>
  </si>
  <si>
    <t xml:space="preserve">trenes/día</t>
  </si>
  <si>
    <t xml:space="preserve">[F, dia. 20]</t>
  </si>
  <si>
    <t xml:space="preserve">Camiones por tren</t>
  </si>
  <si>
    <t xml:space="preserve">camiones</t>
  </si>
  <si>
    <t xml:space="preserve">[F, dia. 20] «hasta 35»</t>
  </si>
  <si>
    <t xml:space="preserve">Horas de operación al día</t>
  </si>
  <si>
    <t xml:space="preserve">h</t>
  </si>
  <si>
    <t xml:space="preserve">[H] servicio continuo</t>
  </si>
  <si>
    <t xml:space="preserve">Fracción de trenes por sentido</t>
  </si>
  <si>
    <t xml:space="preserve">—</t>
  </si>
  <si>
    <t xml:space="preserve">[H] reparto por igual</t>
  </si>
  <si>
    <t xml:space="preserve">Intervalo entre trenes de un sentido</t>
  </si>
  <si>
    <t xml:space="preserve">[CP]</t>
  </si>
  <si>
    <t xml:space="preserve">Capacidad (camiones/día, dos sentidos)</t>
  </si>
  <si>
    <t xml:space="preserve">camiones/día</t>
  </si>
  <si>
    <t xml:space="preserve">Velocidad de acceso · mínimo (ondulado)</t>
  </si>
  <si>
    <t xml:space="preserve">km/h</t>
  </si>
  <si>
    <t xml:space="preserve">[F] SICE-TAC · asignación [H]</t>
  </si>
  <si>
    <t xml:space="preserve">Velocidad de acceso · típico (montaña/urbano)</t>
  </si>
  <si>
    <t xml:space="preserve">Velocidad de acceso · máximo (afirmado)</t>
  </si>
  <si>
    <t xml:space="preserve">Fila 7 debe dar 70 min, el «tiempo integrado» que la fuente publica en la dia. 29. Espera en terminal: mínimo 0, típico medio intervalo (llegada al azar), máximo un intervalo. Las velocidades de acceso son las del SICE-TAC para 3S3 cargado; qué terreno representa cada escenario es hipótesis.</t>
  </si>
  <si>
    <t xml:space="preserve">Tabla 2. Accesos por carretera entre las cabeceras municipales y las terminales supuestas en los portales del OE 1</t>
  </si>
  <si>
    <t xml:space="preserve">Sentido</t>
  </si>
  <si>
    <t xml:space="preserve">Tramo</t>
  </si>
  <si>
    <t xml:space="preserve">Distancia vial (km)</t>
  </si>
  <si>
    <t xml:space="preserve">Tiempo en auto OSRM (min)</t>
  </si>
  <si>
    <t xml:space="preserve">Ajuste al vial en origen / destino (m)</t>
  </si>
  <si>
    <t xml:space="preserve">Vía del ajuste</t>
  </si>
  <si>
    <t xml:space="preserve">Ibagué → Calarcá</t>
  </si>
  <si>
    <t xml:space="preserve">ibague_portalE</t>
  </si>
  <si>
    <t xml:space="preserve">10 / 5</t>
  </si>
  <si>
    <t xml:space="preserve">Calle 42 / Vía a la Montañita</t>
  </si>
  <si>
    <t xml:space="preserve">portalW_calarca</t>
  </si>
  <si>
    <t xml:space="preserve">258 / 33</t>
  </si>
  <si>
    <t xml:space="preserve">(sin nombre) / Carrera 25</t>
  </si>
  <si>
    <t xml:space="preserve">Total acceso</t>
  </si>
  <si>
    <t xml:space="preserve">Calarcá → Ibagué</t>
  </si>
  <si>
    <t xml:space="preserve">calarca_portalW</t>
  </si>
  <si>
    <t xml:space="preserve">33 / 258</t>
  </si>
  <si>
    <t xml:space="preserve">Carrera 25 / (sin nombre)</t>
  </si>
  <si>
    <t xml:space="preserve">portalE_ibague</t>
  </si>
  <si>
    <t xml:space="preserve">5 / 10</t>
  </si>
  <si>
    <t xml:space="preserve">Vía a la Montañita / Calle 42</t>
  </si>
  <si>
    <t xml:space="preserve">Portal oriental (OE 1): 4.364, -75.196; se ajusta a la «Vía a la Montañita», una vía rural. Portal occidental: 4.48, -75.652; queda a unos 258 m del vial más cercano. Cabeceras: centro administrativo de OpenStreetMap (Nominatim). Una terminal de 35 tractomulas por tren exigiría vías de acceso nuevas o mejoradas: no se evalúa aquí.</t>
  </si>
  <si>
    <t xml:space="preserve">Control: OSRM da entre cabeceras por la Ruta 40 79,0 km (97 min en auto) y 67,9 km (76 min en auto) para Ibagué→Calarcá y Calarcá→Ibagué; la misma asimetría que el SICE-TAC (85,01 frente a 76,17 km).</t>
  </si>
  <si>
    <t xml:space="preserve">Tabla 3. Tiempo de ciclo Ferropista cabecera–cabecera por sentido y escenario</t>
  </si>
  <si>
    <t xml:space="preserve">Escenario</t>
  </si>
  <si>
    <t xml:space="preserve">Acceso (min)</t>
  </si>
  <si>
    <t xml:space="preserve">Espera del tren (min)</t>
  </si>
  <si>
    <t xml:space="preserve">Operación (min)</t>
  </si>
  <si>
    <t xml:space="preserve">Total (min)</t>
  </si>
  <si>
    <t xml:space="preserve">Total (h)</t>
  </si>
  <si>
    <t xml:space="preserve">Mínimo</t>
  </si>
  <si>
    <t xml:space="preserve">Típico</t>
  </si>
  <si>
    <t xml:space="preserve">Máximo</t>
  </si>
  <si>
    <t xml:space="preserve">Tabla 4. Reducción del tiempo de ciclo frente a la operación actual por la Ruta 40</t>
  </si>
  <si>
    <t xml:space="preserve">Rango</t>
  </si>
  <si>
    <t xml:space="preserve">Carretera (h) · Act 1</t>
  </si>
  <si>
    <t xml:space="preserve">Ferropista (h)</t>
  </si>
  <si>
    <t xml:space="preserve">Reducción (h)</t>
  </si>
  <si>
    <t xml:space="preserve">Reducción (%)</t>
  </si>
  <si>
    <t xml:space="preserve">Emparejamiento</t>
  </si>
  <si>
    <t xml:space="preserve">Bajo</t>
  </si>
  <si>
    <t xml:space="preserve">Carretera mínimo − Ferropista máximo</t>
  </si>
  <si>
    <t xml:space="preserve">Central</t>
  </si>
  <si>
    <t xml:space="preserve">Carretera típico − Ferropista típico</t>
  </si>
  <si>
    <t xml:space="preserve">Alto</t>
  </si>
  <si>
    <t xml:space="preserve">Carretera máximo − Ferropista mínimo</t>
  </si>
  <si>
    <t xml:space="preserve">Columna C en verde: valor leído del JSON de la Act 1 (registro_tiempos_ruta40_OE6.json). La fuente compara 4 h con 70 min (−71 %) sin contar accesos ni espera del tren; esta tabla sí los cuenta.</t>
  </si>
  <si>
    <t xml:space="preserve">Tabla 5. Fuentes citadas y huella md5 de los archivos usados</t>
  </si>
  <si>
    <t xml:space="preserve">Clave</t>
  </si>
  <si>
    <t xml:space="preserve">Referencia</t>
  </si>
  <si>
    <t xml:space="preserve">Archivo local</t>
  </si>
  <si>
    <t xml:space="preserve">md5</t>
  </si>
  <si>
    <t xml:space="preserve">PON</t>
  </si>
  <si>
    <t xml:space="preserve">Fernández Ordóñez, H. O. (2025). Túnel para cruce férreo de la Cordillera Central de los Andes y semilla para la Estrella Andina. XX Seminario Andino de Túneles y Obras Subterráneas, SAI, Medellín, 8 oct 2025. Fuente primaria del proyecto.</t>
  </si>
  <si>
    <t xml:space="preserve">Túnel para cruce férreo cordillera Central -SAI- 08octubre2025.pdf</t>
  </si>
  <si>
    <t xml:space="preserve">2e7d264eb6d98f368dc9a6bd5bf5bd6d</t>
  </si>
  <si>
    <t xml:space="preserve">SICETAC_IBG_CAL</t>
  </si>
  <si>
    <t xml:space="preserve">Ministerio de Transporte. SICE-TAC, consulta pública (plc.mintransporte.gov.co), periodo de referencia 20260901: tractocamión 3S3, portacontenedores, contenedor cargado, cargado, 2 h de cargue y 2 h de descargue. Rutas 14037 (Ibagué–Calarcá) y 15393 (Calarcá–Ibagué). Consultado y guardado en PDF el 29 sep 2026.</t>
  </si>
  <si>
    <t xml:space="preserve">OE6_Logistica/Fuentes/sicetac_IBG_CAL_3S3.pdf</t>
  </si>
  <si>
    <t xml:space="preserve">c991f42266763925dbb7f1ff4d959ed5</t>
  </si>
  <si>
    <t xml:space="preserve">OSRM</t>
  </si>
  <si>
    <t xml:space="preserve">OpenStreetMap vía OSRM (router.project-osrm.org) y Nominatim, consultados el 29 sep 2026; respuestas crudas en Act2_TiempoFerropista/Datos/.</t>
  </si>
  <si>
    <t xml:space="preserve">OE1</t>
  </si>
  <si>
    <t xml:space="preserve">OE 1 del semillero: OE1_Topografia/cifras_OE1.json y Act2_Portales/puntos_control_portales.geojson (portales adoptados).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</si>
</sst>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0.0"/>
    <numFmt numFmtId="168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8E2C"/>
      <name val="Calibri"/>
      <family val="0"/>
      <charset val="1"/>
    </font>
    <font>
      <sz val="12"/>
      <color rgb="FF193F77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B91C1C"/>
      <name val="Calibri"/>
      <family val="0"/>
      <charset val="1"/>
    </font>
    <font>
      <b val="true"/>
      <sz val="12"/>
      <color rgb="FF193F77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13"/>
      <color rgb="FF193F77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008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93F77"/>
        <bgColor rgb="FF333399"/>
      </patternFill>
    </fill>
    <fill>
      <patternFill patternType="solid">
        <fgColor rgb="FFFFF7D6"/>
        <bgColor rgb="FFE8F3EA"/>
      </patternFill>
    </fill>
    <fill>
      <patternFill patternType="solid">
        <fgColor rgb="FFE8F3EA"/>
        <bgColor rgb="FFFFF7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E8F3EA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93F77"/>
      <rgbColor rgb="FF178E2C"/>
      <rgbColor rgb="FF003300"/>
      <rgbColor rgb="FF333300"/>
      <rgbColor rgb="FFB9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794160</xdr:colOff>
      <xdr:row>4</xdr:row>
      <xdr:rowOff>94680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11320" y="190440"/>
          <a:ext cx="248580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666360</xdr:colOff>
      <xdr:row>4</xdr:row>
      <xdr:rowOff>94680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6555240" y="190440"/>
          <a:ext cx="666360" cy="666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8:G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7" min="3" style="0" width="22"/>
    <col collapsed="false" customWidth="true" hidden="false" outlineLevel="0" max="8" min="8" style="0" width="3"/>
  </cols>
  <sheetData>
    <row r="8" customFormat="false" ht="22.05" hidden="false" customHeight="false" outlineLevel="0" collapsed="false">
      <c r="B8" s="1" t="s">
        <v>0</v>
      </c>
    </row>
    <row r="9" customFormat="false" ht="15" hidden="false" customHeight="false" outlineLevel="0" collapsed="false">
      <c r="B9" s="2" t="s">
        <v>1</v>
      </c>
    </row>
    <row r="11" customFormat="false" ht="57.75" hidden="false" customHeight="true" outlineLevel="0" collapsed="false">
      <c r="B11" s="3" t="s">
        <v>2</v>
      </c>
      <c r="C11" s="4" t="s">
        <v>3</v>
      </c>
      <c r="D11" s="4"/>
      <c r="E11" s="4"/>
      <c r="F11" s="4"/>
      <c r="G11" s="4"/>
    </row>
    <row r="12" customFormat="false" ht="30" hidden="false" customHeight="true" outlineLevel="0" collapsed="false">
      <c r="B12" s="3" t="s">
        <v>4</v>
      </c>
      <c r="C12" s="4" t="s">
        <v>5</v>
      </c>
      <c r="D12" s="4"/>
      <c r="E12" s="4"/>
      <c r="F12" s="4"/>
      <c r="G12" s="4"/>
    </row>
    <row r="13" customFormat="false" ht="30" hidden="false" customHeight="true" outlineLevel="0" collapsed="false">
      <c r="B13" s="3" t="s">
        <v>6</v>
      </c>
      <c r="C13" s="4" t="s">
        <v>7</v>
      </c>
      <c r="D13" s="4"/>
      <c r="E13" s="4"/>
      <c r="F13" s="4"/>
      <c r="G13" s="4"/>
    </row>
    <row r="14" customFormat="false" ht="30" hidden="false" customHeight="true" outlineLevel="0" collapsed="false">
      <c r="B14" s="3" t="s">
        <v>8</v>
      </c>
      <c r="C14" s="4" t="s">
        <v>9</v>
      </c>
      <c r="D14" s="4"/>
      <c r="E14" s="4"/>
      <c r="F14" s="4"/>
      <c r="G14" s="4"/>
    </row>
    <row r="15" customFormat="false" ht="30" hidden="false" customHeight="true" outlineLevel="0" collapsed="false">
      <c r="B15" s="3" t="s">
        <v>10</v>
      </c>
      <c r="C15" s="4" t="s">
        <v>11</v>
      </c>
      <c r="D15" s="4"/>
      <c r="E15" s="4"/>
      <c r="F15" s="4"/>
      <c r="G15" s="4"/>
    </row>
    <row r="16" customFormat="false" ht="30" hidden="false" customHeight="true" outlineLevel="0" collapsed="false">
      <c r="B16" s="3" t="s">
        <v>12</v>
      </c>
      <c r="C16" s="4" t="s">
        <v>13</v>
      </c>
      <c r="D16" s="4"/>
      <c r="E16" s="4"/>
      <c r="F16" s="4"/>
      <c r="G16" s="4"/>
    </row>
    <row r="17" customFormat="false" ht="30" hidden="false" customHeight="true" outlineLevel="0" collapsed="false">
      <c r="B17" s="3" t="s">
        <v>14</v>
      </c>
      <c r="C17" s="4" t="s">
        <v>15</v>
      </c>
      <c r="D17" s="4"/>
      <c r="E17" s="4"/>
      <c r="F17" s="4"/>
      <c r="G17" s="4"/>
    </row>
    <row r="18" customFormat="false" ht="30" hidden="false" customHeight="true" outlineLevel="0" collapsed="false">
      <c r="B18" s="3" t="s">
        <v>16</v>
      </c>
      <c r="C18" s="4" t="s">
        <v>17</v>
      </c>
      <c r="D18" s="4"/>
      <c r="E18" s="4"/>
      <c r="F18" s="4"/>
      <c r="G18" s="4"/>
    </row>
    <row r="19" customFormat="false" ht="57.75" hidden="false" customHeight="true" outlineLevel="0" collapsed="false">
      <c r="B19" s="3" t="s">
        <v>18</v>
      </c>
      <c r="C19" s="5" t="s">
        <v>19</v>
      </c>
      <c r="D19" s="5"/>
      <c r="E19" s="5"/>
      <c r="F19" s="5"/>
      <c r="G19" s="5"/>
    </row>
    <row r="21" customFormat="false" ht="15" hidden="false" customHeight="false" outlineLevel="0" collapsed="false">
      <c r="B21" s="6" t="s">
        <v>20</v>
      </c>
    </row>
    <row r="22" customFormat="false" ht="15" hidden="false" customHeight="true" outlineLevel="0" collapsed="false">
      <c r="B22" s="7" t="s">
        <v>21</v>
      </c>
      <c r="C22" s="4" t="s">
        <v>22</v>
      </c>
      <c r="D22" s="4"/>
      <c r="E22" s="4"/>
      <c r="F22" s="4"/>
      <c r="G22" s="4"/>
    </row>
    <row r="23" customFormat="false" ht="15" hidden="false" customHeight="true" outlineLevel="0" collapsed="false">
      <c r="B23" s="7" t="s">
        <v>23</v>
      </c>
      <c r="C23" s="4" t="s">
        <v>24</v>
      </c>
      <c r="D23" s="4"/>
      <c r="E23" s="4"/>
      <c r="F23" s="4"/>
      <c r="G23" s="4"/>
    </row>
    <row r="24" customFormat="false" ht="15" hidden="false" customHeight="true" outlineLevel="0" collapsed="false">
      <c r="B24" s="7" t="s">
        <v>25</v>
      </c>
      <c r="C24" s="4" t="s">
        <v>26</v>
      </c>
      <c r="D24" s="4"/>
      <c r="E24" s="4"/>
      <c r="F24" s="4"/>
      <c r="G24" s="4"/>
    </row>
    <row r="25" customFormat="false" ht="15" hidden="false" customHeight="true" outlineLevel="0" collapsed="false">
      <c r="B25" s="7" t="s">
        <v>27</v>
      </c>
      <c r="C25" s="4" t="s">
        <v>28</v>
      </c>
      <c r="D25" s="4"/>
      <c r="E25" s="4"/>
      <c r="F25" s="4"/>
      <c r="G25" s="4"/>
    </row>
    <row r="26" customFormat="false" ht="15" hidden="false" customHeight="true" outlineLevel="0" collapsed="false">
      <c r="B26" s="7" t="s">
        <v>29</v>
      </c>
      <c r="C26" s="4" t="s">
        <v>30</v>
      </c>
      <c r="D26" s="4"/>
      <c r="E26" s="4"/>
      <c r="F26" s="4"/>
      <c r="G26" s="4"/>
    </row>
    <row r="28" customFormat="false" ht="15" hidden="false" customHeight="true" outlineLevel="0" collapsed="false">
      <c r="B28" s="8" t="s">
        <v>31</v>
      </c>
      <c r="C28" s="8"/>
      <c r="D28" s="8"/>
      <c r="E28" s="8"/>
      <c r="F28" s="8"/>
      <c r="G28" s="8"/>
    </row>
    <row r="29" customFormat="false" ht="15" hidden="false" customHeight="false" outlineLevel="0" collapsed="false">
      <c r="B29" s="8"/>
      <c r="C29" s="8"/>
      <c r="D29" s="8"/>
      <c r="E29" s="8"/>
      <c r="F29" s="8"/>
      <c r="G29" s="8"/>
    </row>
    <row r="30" customFormat="false" ht="15" hidden="false" customHeight="false" outlineLevel="0" collapsed="false">
      <c r="B30" s="8"/>
      <c r="C30" s="8"/>
      <c r="D30" s="8"/>
      <c r="E30" s="8"/>
      <c r="F30" s="8"/>
      <c r="G30" s="8"/>
    </row>
    <row r="31" customFormat="false" ht="15" hidden="false" customHeight="false" outlineLevel="0" collapsed="false">
      <c r="B31" s="8"/>
      <c r="C31" s="8"/>
      <c r="D31" s="8"/>
      <c r="E31" s="8"/>
      <c r="F31" s="8"/>
      <c r="G31" s="8"/>
    </row>
    <row r="32" customFormat="false" ht="15" hidden="false" customHeight="false" outlineLevel="0" collapsed="false">
      <c r="B32" s="8"/>
      <c r="C32" s="8"/>
      <c r="D32" s="8"/>
      <c r="E32" s="8"/>
      <c r="F32" s="8"/>
      <c r="G32" s="8"/>
    </row>
  </sheetData>
  <mergeCells count="15"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C22:G22"/>
    <mergeCell ref="C23:G23"/>
    <mergeCell ref="C24:G24"/>
    <mergeCell ref="C25:G25"/>
    <mergeCell ref="C26:G26"/>
    <mergeCell ref="B28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2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9" t="s">
        <v>32</v>
      </c>
    </row>
    <row r="3" customFormat="false" ht="42" hidden="false" customHeight="true" outlineLevel="0" collapsed="false">
      <c r="A3" s="10" t="s">
        <v>33</v>
      </c>
      <c r="B3" s="10" t="s">
        <v>34</v>
      </c>
      <c r="C3" s="10" t="s">
        <v>35</v>
      </c>
      <c r="D3" s="10" t="s">
        <v>36</v>
      </c>
    </row>
    <row r="4" customFormat="false" ht="15" hidden="false" customHeight="false" outlineLevel="0" collapsed="false">
      <c r="A4" s="11" t="s">
        <v>37</v>
      </c>
      <c r="B4" s="12" t="n">
        <v>25</v>
      </c>
      <c r="C4" s="11" t="s">
        <v>38</v>
      </c>
      <c r="D4" s="11" t="s">
        <v>39</v>
      </c>
    </row>
    <row r="5" customFormat="false" ht="15" hidden="false" customHeight="false" outlineLevel="0" collapsed="false">
      <c r="A5" s="11" t="s">
        <v>40</v>
      </c>
      <c r="B5" s="12" t="n">
        <v>30</v>
      </c>
      <c r="C5" s="11" t="s">
        <v>38</v>
      </c>
      <c r="D5" s="11" t="s">
        <v>39</v>
      </c>
    </row>
    <row r="6" customFormat="false" ht="15" hidden="false" customHeight="false" outlineLevel="0" collapsed="false">
      <c r="A6" s="11" t="s">
        <v>41</v>
      </c>
      <c r="B6" s="12" t="n">
        <v>15</v>
      </c>
      <c r="C6" s="11" t="s">
        <v>38</v>
      </c>
      <c r="D6" s="11" t="s">
        <v>39</v>
      </c>
    </row>
    <row r="7" customFormat="false" ht="15" hidden="false" customHeight="false" outlineLevel="0" collapsed="false">
      <c r="A7" s="11" t="s">
        <v>42</v>
      </c>
      <c r="B7" s="13" t="n">
        <f aca="false">SUM(B4:B6)</f>
        <v>70</v>
      </c>
      <c r="C7" s="11" t="s">
        <v>38</v>
      </c>
      <c r="D7" s="11" t="s">
        <v>43</v>
      </c>
    </row>
    <row r="8" customFormat="false" ht="15" hidden="false" customHeight="false" outlineLevel="0" collapsed="false">
      <c r="A8" s="11" t="s">
        <v>44</v>
      </c>
      <c r="B8" s="12" t="n">
        <v>140</v>
      </c>
      <c r="C8" s="11" t="s">
        <v>45</v>
      </c>
      <c r="D8" s="11" t="s">
        <v>46</v>
      </c>
    </row>
    <row r="9" customFormat="false" ht="15" hidden="false" customHeight="false" outlineLevel="0" collapsed="false">
      <c r="A9" s="11" t="s">
        <v>47</v>
      </c>
      <c r="B9" s="12" t="n">
        <v>35</v>
      </c>
      <c r="C9" s="11" t="s">
        <v>48</v>
      </c>
      <c r="D9" s="11" t="s">
        <v>49</v>
      </c>
    </row>
    <row r="10" customFormat="false" ht="15" hidden="false" customHeight="false" outlineLevel="0" collapsed="false">
      <c r="A10" s="11" t="s">
        <v>50</v>
      </c>
      <c r="B10" s="14" t="n">
        <v>24</v>
      </c>
      <c r="C10" s="11" t="s">
        <v>51</v>
      </c>
      <c r="D10" s="11" t="s">
        <v>52</v>
      </c>
    </row>
    <row r="11" customFormat="false" ht="15" hidden="false" customHeight="false" outlineLevel="0" collapsed="false">
      <c r="A11" s="11" t="s">
        <v>53</v>
      </c>
      <c r="B11" s="14" t="n">
        <v>0.5</v>
      </c>
      <c r="C11" s="11" t="s">
        <v>54</v>
      </c>
      <c r="D11" s="11" t="s">
        <v>55</v>
      </c>
    </row>
    <row r="12" customFormat="false" ht="15" hidden="false" customHeight="false" outlineLevel="0" collapsed="false">
      <c r="A12" s="11" t="s">
        <v>56</v>
      </c>
      <c r="B12" s="13" t="n">
        <f aca="false">B10*60/(B8*B11)</f>
        <v>20.5714285714286</v>
      </c>
      <c r="C12" s="11" t="s">
        <v>38</v>
      </c>
      <c r="D12" s="11" t="s">
        <v>57</v>
      </c>
    </row>
    <row r="13" customFormat="false" ht="15" hidden="false" customHeight="false" outlineLevel="0" collapsed="false">
      <c r="A13" s="11" t="s">
        <v>58</v>
      </c>
      <c r="B13" s="13" t="n">
        <f aca="false">B8*B9</f>
        <v>4900</v>
      </c>
      <c r="C13" s="11" t="s">
        <v>59</v>
      </c>
      <c r="D13" s="11" t="s">
        <v>57</v>
      </c>
    </row>
    <row r="14" customFormat="false" ht="15" hidden="false" customHeight="false" outlineLevel="0" collapsed="false">
      <c r="A14" s="11" t="s">
        <v>60</v>
      </c>
      <c r="B14" s="12" t="n">
        <v>33.13</v>
      </c>
      <c r="C14" s="11" t="s">
        <v>61</v>
      </c>
      <c r="D14" s="11" t="s">
        <v>62</v>
      </c>
    </row>
    <row r="15" customFormat="false" ht="15" hidden="false" customHeight="false" outlineLevel="0" collapsed="false">
      <c r="A15" s="11" t="s">
        <v>63</v>
      </c>
      <c r="B15" s="12" t="n">
        <v>23.57</v>
      </c>
      <c r="C15" s="11" t="s">
        <v>61</v>
      </c>
      <c r="D15" s="11" t="s">
        <v>62</v>
      </c>
    </row>
    <row r="16" customFormat="false" ht="15" hidden="false" customHeight="false" outlineLevel="0" collapsed="false">
      <c r="A16" s="11" t="s">
        <v>64</v>
      </c>
      <c r="B16" s="12" t="n">
        <v>15</v>
      </c>
      <c r="C16" s="11" t="s">
        <v>61</v>
      </c>
      <c r="D16" s="11" t="s">
        <v>62</v>
      </c>
    </row>
    <row r="18" customFormat="false" ht="25.5" hidden="false" customHeight="true" outlineLevel="0" collapsed="false">
      <c r="A18" s="8" t="s">
        <v>65</v>
      </c>
      <c r="B18" s="8"/>
      <c r="C18" s="8"/>
      <c r="D18" s="8"/>
    </row>
  </sheetData>
  <mergeCells count="1"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34"/>
  </cols>
  <sheetData>
    <row r="1" customFormat="false" ht="16.15" hidden="false" customHeight="false" outlineLevel="0" collapsed="false">
      <c r="A1" s="9" t="s">
        <v>66</v>
      </c>
    </row>
    <row r="3" customFormat="false" ht="42" hidden="false" customHeight="true" outlineLevel="0" collapsed="false">
      <c r="A3" s="10" t="s">
        <v>67</v>
      </c>
      <c r="B3" s="10" t="s">
        <v>68</v>
      </c>
      <c r="C3" s="10" t="s">
        <v>69</v>
      </c>
      <c r="D3" s="10" t="s">
        <v>70</v>
      </c>
      <c r="E3" s="10" t="s">
        <v>71</v>
      </c>
      <c r="F3" s="10" t="s">
        <v>72</v>
      </c>
    </row>
    <row r="4" customFormat="false" ht="15" hidden="false" customHeight="false" outlineLevel="0" collapsed="false">
      <c r="A4" s="11" t="s">
        <v>73</v>
      </c>
      <c r="B4" s="11" t="s">
        <v>74</v>
      </c>
      <c r="C4" s="15" t="n">
        <v>13.9007</v>
      </c>
      <c r="D4" s="16" t="n">
        <v>22</v>
      </c>
      <c r="E4" s="11" t="s">
        <v>75</v>
      </c>
      <c r="F4" s="11" t="s">
        <v>76</v>
      </c>
    </row>
    <row r="5" customFormat="false" ht="15" hidden="false" customHeight="false" outlineLevel="0" collapsed="false">
      <c r="A5" s="11" t="s">
        <v>73</v>
      </c>
      <c r="B5" s="11" t="s">
        <v>77</v>
      </c>
      <c r="C5" s="15" t="n">
        <v>7.5038</v>
      </c>
      <c r="D5" s="16" t="n">
        <v>15.3</v>
      </c>
      <c r="E5" s="11" t="s">
        <v>78</v>
      </c>
      <c r="F5" s="11" t="s">
        <v>79</v>
      </c>
    </row>
    <row r="6" customFormat="false" ht="15" hidden="false" customHeight="false" outlineLevel="0" collapsed="false">
      <c r="A6" s="17" t="s">
        <v>73</v>
      </c>
      <c r="B6" s="17" t="s">
        <v>80</v>
      </c>
      <c r="C6" s="18" t="n">
        <f aca="false">C4+C5</f>
        <v>21.4045</v>
      </c>
    </row>
    <row r="8" customFormat="false" ht="15" hidden="false" customHeight="false" outlineLevel="0" collapsed="false">
      <c r="A8" s="11" t="s">
        <v>81</v>
      </c>
      <c r="B8" s="11" t="s">
        <v>82</v>
      </c>
      <c r="C8" s="15" t="n">
        <v>7.4072</v>
      </c>
      <c r="D8" s="16" t="n">
        <v>15.2</v>
      </c>
      <c r="E8" s="11" t="s">
        <v>83</v>
      </c>
      <c r="F8" s="11" t="s">
        <v>84</v>
      </c>
    </row>
    <row r="9" customFormat="false" ht="15" hidden="false" customHeight="false" outlineLevel="0" collapsed="false">
      <c r="A9" s="11" t="s">
        <v>81</v>
      </c>
      <c r="B9" s="11" t="s">
        <v>85</v>
      </c>
      <c r="C9" s="15" t="n">
        <v>13.9757</v>
      </c>
      <c r="D9" s="16" t="n">
        <v>24.1</v>
      </c>
      <c r="E9" s="11" t="s">
        <v>86</v>
      </c>
      <c r="F9" s="11" t="s">
        <v>87</v>
      </c>
    </row>
    <row r="10" customFormat="false" ht="15" hidden="false" customHeight="false" outlineLevel="0" collapsed="false">
      <c r="A10" s="17" t="s">
        <v>81</v>
      </c>
      <c r="B10" s="17" t="s">
        <v>80</v>
      </c>
      <c r="C10" s="18" t="n">
        <f aca="false">C8+C9</f>
        <v>21.3829</v>
      </c>
    </row>
    <row r="12" customFormat="false" ht="39" hidden="false" customHeight="true" outlineLevel="0" collapsed="false">
      <c r="A12" s="8" t="s">
        <v>88</v>
      </c>
      <c r="B12" s="8"/>
      <c r="C12" s="8"/>
      <c r="D12" s="8"/>
      <c r="E12" s="8"/>
      <c r="F12" s="8"/>
    </row>
    <row r="14" customFormat="false" ht="25.5" hidden="false" customHeight="true" outlineLevel="0" collapsed="false">
      <c r="A14" s="8" t="s">
        <v>89</v>
      </c>
      <c r="B14" s="8"/>
      <c r="C14" s="8"/>
      <c r="D14" s="8"/>
      <c r="E14" s="8"/>
      <c r="F14" s="8"/>
    </row>
  </sheetData>
  <mergeCells count="2">
    <mergeCell ref="A12:F12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11"/>
  </cols>
  <sheetData>
    <row r="1" customFormat="false" ht="16.15" hidden="false" customHeight="false" outlineLevel="0" collapsed="false">
      <c r="A1" s="9" t="s">
        <v>90</v>
      </c>
    </row>
    <row r="3" customFormat="false" ht="42" hidden="false" customHeight="true" outlineLevel="0" collapsed="false">
      <c r="A3" s="10" t="s">
        <v>67</v>
      </c>
      <c r="B3" s="10" t="s">
        <v>91</v>
      </c>
      <c r="C3" s="10" t="s">
        <v>92</v>
      </c>
      <c r="D3" s="10" t="s">
        <v>93</v>
      </c>
      <c r="E3" s="10" t="s">
        <v>94</v>
      </c>
      <c r="F3" s="10" t="s">
        <v>95</v>
      </c>
      <c r="G3" s="10" t="s">
        <v>96</v>
      </c>
    </row>
    <row r="4" customFormat="false" ht="15" hidden="false" customHeight="false" outlineLevel="0" collapsed="false">
      <c r="A4" s="11" t="s">
        <v>73</v>
      </c>
      <c r="B4" s="17" t="s">
        <v>97</v>
      </c>
      <c r="C4" s="19" t="n">
        <f aca="false">Accesos!C6/Parámetros!B14*60</f>
        <v>38.7645638394205</v>
      </c>
      <c r="D4" s="19" t="n">
        <f aca="false">0</f>
        <v>0</v>
      </c>
      <c r="E4" s="19" t="n">
        <f aca="false">Parámetros!B7</f>
        <v>70</v>
      </c>
      <c r="F4" s="20" t="n">
        <f aca="false">C4+D4+E4</f>
        <v>108.76456383942</v>
      </c>
      <c r="G4" s="21" t="n">
        <f aca="false">F4/60</f>
        <v>1.81274273065701</v>
      </c>
    </row>
    <row r="5" customFormat="false" ht="15" hidden="false" customHeight="false" outlineLevel="0" collapsed="false">
      <c r="A5" s="11" t="s">
        <v>73</v>
      </c>
      <c r="B5" s="17" t="s">
        <v>98</v>
      </c>
      <c r="C5" s="19" t="n">
        <f aca="false">Accesos!C6/Parámetros!B15*60</f>
        <v>54.4874840899448</v>
      </c>
      <c r="D5" s="19" t="n">
        <f aca="false">Parámetros!B12/2</f>
        <v>10.2857142857143</v>
      </c>
      <c r="E5" s="19" t="n">
        <f aca="false">Parámetros!B7</f>
        <v>70</v>
      </c>
      <c r="F5" s="20" t="n">
        <f aca="false">C5+D5+E5</f>
        <v>134.773198375659</v>
      </c>
      <c r="G5" s="21" t="n">
        <f aca="false">F5/60</f>
        <v>2.24621997292765</v>
      </c>
    </row>
    <row r="6" customFormat="false" ht="15" hidden="false" customHeight="false" outlineLevel="0" collapsed="false">
      <c r="A6" s="11" t="s">
        <v>73</v>
      </c>
      <c r="B6" s="17" t="s">
        <v>99</v>
      </c>
      <c r="C6" s="19" t="n">
        <f aca="false">Accesos!C6/Parámetros!B16*60</f>
        <v>85.618</v>
      </c>
      <c r="D6" s="19" t="n">
        <f aca="false">Parámetros!B12</f>
        <v>20.5714285714286</v>
      </c>
      <c r="E6" s="19" t="n">
        <f aca="false">Parámetros!B7</f>
        <v>70</v>
      </c>
      <c r="F6" s="20" t="n">
        <f aca="false">C6+D6+E6</f>
        <v>176.189428571429</v>
      </c>
      <c r="G6" s="21" t="n">
        <f aca="false">F6/60</f>
        <v>2.93649047619048</v>
      </c>
    </row>
    <row r="8" customFormat="false" ht="15" hidden="false" customHeight="false" outlineLevel="0" collapsed="false">
      <c r="A8" s="11" t="s">
        <v>81</v>
      </c>
      <c r="B8" s="17" t="s">
        <v>97</v>
      </c>
      <c r="C8" s="19" t="n">
        <f aca="false">Accesos!C10/Parámetros!B14*60</f>
        <v>38.7254452158165</v>
      </c>
      <c r="D8" s="19" t="n">
        <f aca="false">0</f>
        <v>0</v>
      </c>
      <c r="E8" s="19" t="n">
        <f aca="false">Parámetros!B7</f>
        <v>70</v>
      </c>
      <c r="F8" s="20" t="n">
        <f aca="false">C8+D8+E8</f>
        <v>108.725445215816</v>
      </c>
      <c r="G8" s="21" t="n">
        <f aca="false">F8/60</f>
        <v>1.81209075359694</v>
      </c>
    </row>
    <row r="9" customFormat="false" ht="15" hidden="false" customHeight="false" outlineLevel="0" collapsed="false">
      <c r="A9" s="11" t="s">
        <v>81</v>
      </c>
      <c r="B9" s="17" t="s">
        <v>98</v>
      </c>
      <c r="C9" s="19" t="n">
        <f aca="false">Accesos!C10/Parámetros!B15*60</f>
        <v>54.4324989393297</v>
      </c>
      <c r="D9" s="19" t="n">
        <f aca="false">Parámetros!B12/2</f>
        <v>10.2857142857143</v>
      </c>
      <c r="E9" s="19" t="n">
        <f aca="false">Parámetros!B7</f>
        <v>70</v>
      </c>
      <c r="F9" s="20" t="n">
        <f aca="false">C9+D9+E9</f>
        <v>134.718213225044</v>
      </c>
      <c r="G9" s="21" t="n">
        <f aca="false">F9/60</f>
        <v>2.24530355375073</v>
      </c>
    </row>
    <row r="10" customFormat="false" ht="15" hidden="false" customHeight="false" outlineLevel="0" collapsed="false">
      <c r="A10" s="11" t="s">
        <v>81</v>
      </c>
      <c r="B10" s="17" t="s">
        <v>99</v>
      </c>
      <c r="C10" s="19" t="n">
        <f aca="false">Accesos!C10/Parámetros!B16*60</f>
        <v>85.5316</v>
      </c>
      <c r="D10" s="19" t="n">
        <f aca="false">Parámetros!B12</f>
        <v>20.5714285714286</v>
      </c>
      <c r="E10" s="19" t="n">
        <f aca="false">Parámetros!B7</f>
        <v>70</v>
      </c>
      <c r="F10" s="20" t="n">
        <f aca="false">C10+D10+E10</f>
        <v>176.103028571429</v>
      </c>
      <c r="G10" s="21" t="n">
        <f aca="false">F10/60</f>
        <v>2.93505047619048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44"/>
  </cols>
  <sheetData>
    <row r="1" customFormat="false" ht="16.15" hidden="false" customHeight="false" outlineLevel="0" collapsed="false">
      <c r="A1" s="9" t="s">
        <v>100</v>
      </c>
    </row>
    <row r="3" customFormat="false" ht="42" hidden="false" customHeight="true" outlineLevel="0" collapsed="false">
      <c r="A3" s="10" t="s">
        <v>67</v>
      </c>
      <c r="B3" s="10" t="s">
        <v>101</v>
      </c>
      <c r="C3" s="10" t="s">
        <v>102</v>
      </c>
      <c r="D3" s="10" t="s">
        <v>103</v>
      </c>
      <c r="E3" s="10" t="s">
        <v>104</v>
      </c>
      <c r="F3" s="10" t="s">
        <v>105</v>
      </c>
      <c r="G3" s="10" t="s">
        <v>106</v>
      </c>
    </row>
    <row r="4" customFormat="false" ht="15" hidden="false" customHeight="false" outlineLevel="0" collapsed="false">
      <c r="A4" s="11" t="s">
        <v>73</v>
      </c>
      <c r="B4" s="17" t="s">
        <v>107</v>
      </c>
      <c r="C4" s="22" t="n">
        <v>2.9975815542608</v>
      </c>
      <c r="D4" s="21" t="n">
        <f aca="false">Ciclo!G6</f>
        <v>2.93649047619048</v>
      </c>
      <c r="E4" s="23" t="n">
        <f aca="false">C4-D4</f>
        <v>0.0610910780703189</v>
      </c>
      <c r="F4" s="24" t="n">
        <f aca="false">E4/C4</f>
        <v>0.0203801220965893</v>
      </c>
      <c r="G4" s="11" t="s">
        <v>108</v>
      </c>
    </row>
    <row r="5" customFormat="false" ht="15" hidden="false" customHeight="false" outlineLevel="0" collapsed="false">
      <c r="A5" s="11" t="s">
        <v>73</v>
      </c>
      <c r="B5" s="17" t="s">
        <v>109</v>
      </c>
      <c r="C5" s="22" t="n">
        <v>4</v>
      </c>
      <c r="D5" s="21" t="n">
        <f aca="false">Ciclo!G5</f>
        <v>2.24621997292765</v>
      </c>
      <c r="E5" s="23" t="n">
        <f aca="false">C5-D5</f>
        <v>1.75378002707235</v>
      </c>
      <c r="F5" s="24" t="n">
        <f aca="false">E5/C5</f>
        <v>0.438445006768087</v>
      </c>
      <c r="G5" s="11" t="s">
        <v>110</v>
      </c>
    </row>
    <row r="6" customFormat="false" ht="15" hidden="false" customHeight="false" outlineLevel="0" collapsed="false">
      <c r="A6" s="11" t="s">
        <v>73</v>
      </c>
      <c r="B6" s="17" t="s">
        <v>111</v>
      </c>
      <c r="C6" s="22" t="n">
        <v>5</v>
      </c>
      <c r="D6" s="21" t="n">
        <f aca="false">Ciclo!G4</f>
        <v>1.81274273065701</v>
      </c>
      <c r="E6" s="23" t="n">
        <f aca="false">C6-D6</f>
        <v>3.18725726934299</v>
      </c>
      <c r="F6" s="24" t="n">
        <f aca="false">E6/C6</f>
        <v>0.637451453868599</v>
      </c>
      <c r="G6" s="11" t="s">
        <v>112</v>
      </c>
    </row>
    <row r="8" customFormat="false" ht="15" hidden="false" customHeight="false" outlineLevel="0" collapsed="false">
      <c r="A8" s="11" t="s">
        <v>81</v>
      </c>
      <c r="B8" s="17" t="s">
        <v>107</v>
      </c>
      <c r="C8" s="22" t="n">
        <v>2.47346542997848</v>
      </c>
      <c r="D8" s="21" t="n">
        <f aca="false">Ciclo!G10</f>
        <v>2.93505047619048</v>
      </c>
      <c r="E8" s="23" t="n">
        <f aca="false">C8-D8</f>
        <v>-0.461585046212</v>
      </c>
      <c r="F8" s="24" t="n">
        <f aca="false">E8/C8</f>
        <v>-0.186614714973404</v>
      </c>
      <c r="G8" s="11" t="s">
        <v>108</v>
      </c>
    </row>
    <row r="9" customFormat="false" ht="15" hidden="false" customHeight="false" outlineLevel="0" collapsed="false">
      <c r="A9" s="11" t="s">
        <v>81</v>
      </c>
      <c r="B9" s="17" t="s">
        <v>109</v>
      </c>
      <c r="C9" s="22" t="n">
        <v>4</v>
      </c>
      <c r="D9" s="21" t="n">
        <f aca="false">Ciclo!G9</f>
        <v>2.24530355375073</v>
      </c>
      <c r="E9" s="23" t="n">
        <f aca="false">C9-D9</f>
        <v>1.75469644624927</v>
      </c>
      <c r="F9" s="24" t="n">
        <f aca="false">E9/C9</f>
        <v>0.438674111562317</v>
      </c>
      <c r="G9" s="11" t="s">
        <v>110</v>
      </c>
    </row>
    <row r="10" customFormat="false" ht="15" hidden="false" customHeight="false" outlineLevel="0" collapsed="false">
      <c r="A10" s="11" t="s">
        <v>81</v>
      </c>
      <c r="B10" s="17" t="s">
        <v>111</v>
      </c>
      <c r="C10" s="22" t="n">
        <v>5</v>
      </c>
      <c r="D10" s="21" t="n">
        <f aca="false">Ciclo!G8</f>
        <v>1.81209075359694</v>
      </c>
      <c r="E10" s="23" t="n">
        <f aca="false">C10-D10</f>
        <v>3.18790924640306</v>
      </c>
      <c r="F10" s="24" t="n">
        <f aca="false">E10/C10</f>
        <v>0.637581849280612</v>
      </c>
      <c r="G10" s="11" t="s">
        <v>112</v>
      </c>
    </row>
    <row r="12" customFormat="false" ht="25.5" hidden="false" customHeight="true" outlineLevel="0" collapsed="false">
      <c r="A12" s="8" t="s">
        <v>113</v>
      </c>
      <c r="B12" s="8"/>
      <c r="C12" s="8"/>
      <c r="D12" s="8"/>
      <c r="E12" s="8"/>
      <c r="F12" s="8"/>
      <c r="G12" s="8"/>
    </row>
  </sheetData>
  <mergeCells count="1"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  <col collapsed="false" customWidth="true" hidden="false" outlineLevel="0" max="3" min="3" style="0" width="46"/>
    <col collapsed="false" customWidth="true" hidden="false" outlineLevel="0" max="4" min="4" style="0" width="36"/>
  </cols>
  <sheetData>
    <row r="1" customFormat="false" ht="16.15" hidden="false" customHeight="false" outlineLevel="0" collapsed="false">
      <c r="A1" s="9" t="s">
        <v>114</v>
      </c>
    </row>
    <row r="3" customFormat="false" ht="42" hidden="false" customHeight="true" outlineLevel="0" collapsed="false">
      <c r="A3" s="10" t="s">
        <v>115</v>
      </c>
      <c r="B3" s="10" t="s">
        <v>116</v>
      </c>
      <c r="C3" s="10" t="s">
        <v>117</v>
      </c>
      <c r="D3" s="10" t="s">
        <v>118</v>
      </c>
    </row>
    <row r="4" customFormat="false" ht="43.5" hidden="false" customHeight="true" outlineLevel="0" collapsed="false">
      <c r="A4" s="17" t="s">
        <v>119</v>
      </c>
      <c r="B4" s="25" t="s">
        <v>120</v>
      </c>
      <c r="C4" s="25" t="s">
        <v>121</v>
      </c>
      <c r="D4" s="11" t="s">
        <v>122</v>
      </c>
    </row>
    <row r="5" customFormat="false" ht="43.5" hidden="false" customHeight="true" outlineLevel="0" collapsed="false">
      <c r="A5" s="17" t="s">
        <v>123</v>
      </c>
      <c r="B5" s="25" t="s">
        <v>124</v>
      </c>
      <c r="C5" s="25" t="s">
        <v>125</v>
      </c>
      <c r="D5" s="11" t="s">
        <v>126</v>
      </c>
    </row>
    <row r="6" customFormat="false" ht="43.5" hidden="false" customHeight="true" outlineLevel="0" collapsed="false">
      <c r="A6" s="17" t="s">
        <v>127</v>
      </c>
      <c r="B6" s="25" t="s">
        <v>128</v>
      </c>
      <c r="C6" s="25" t="s">
        <v>54</v>
      </c>
      <c r="D6" s="11" t="s">
        <v>54</v>
      </c>
    </row>
    <row r="7" customFormat="false" ht="43.5" hidden="false" customHeight="true" outlineLevel="0" collapsed="false">
      <c r="A7" s="17" t="s">
        <v>129</v>
      </c>
      <c r="B7" s="25" t="s">
        <v>130</v>
      </c>
      <c r="C7" s="25" t="s">
        <v>54</v>
      </c>
      <c r="D7" s="11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2026-09-29T21:14:59Z</dcterms:created>
  <dc:creator>openpyxl</dc:creator>
  <dc:description/>
  <dc:language>en-US</dc:language>
  <cp:lastModifiedBy/>
  <dcterms:modified xsi:type="dcterms:W3CDTF">2026-09-29T21:14:59Z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