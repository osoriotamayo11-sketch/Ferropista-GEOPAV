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Entradas" sheetId="2" state="visible" r:id="rId4"/>
    <sheet name="Por viaje" sheetId="3" state="visible" r:id="rId5"/>
    <sheet name="Anual" sheetId="4" state="visible" r:id="rId6"/>
    <sheet name="Tarifa" sheetId="5" state="visible" r:id="rId7"/>
    <sheet name="Contraste" sheetId="6" state="visible" r:id="rId8"/>
    <sheet name="Fuent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<sst xmlns="http://schemas.openxmlformats.org/spreadsheetml/2006/main" count="221" uniqueCount="152">
  <si>
    <t xml:space="preserve">Modelo de ahorros operativos del sector transportador</t>
  </si>
  <si>
    <t xml:space="preserve">Objetivo específico 6 · Actividad 4 — Ahorro por cruce y proyección anual 2026 y 2030 (tractocamiones)</t>
  </si>
  <si>
    <t xml:space="preserve">Objetivo</t>
  </si>
  <si>
    <t xml:space="preserve">OE 6: Determinar la eficiencia logística del sistema intermodal Ferropista, calculando la reducción de tiempos de ciclo y de costos operativos frente a la operación actual por la Ruta 40.</t>
  </si>
  <si>
    <t xml:space="preserve">Actividad</t>
  </si>
  <si>
    <t xml:space="preserve">4. Proyección de los ahorros operativos anuales para el sector transportador</t>
  </si>
  <si>
    <t xml:space="preserve">Entregable / formato</t>
  </si>
  <si>
    <t xml:space="preserve">Modelo de ahorros operativos · Documento Excel</t>
  </si>
  <si>
    <t xml:space="preserve">Periodo</t>
  </si>
  <si>
    <t xml:space="preserve">Bloque 2 del Plan de Acción (5 oct - 7 nov 2026)</t>
  </si>
  <si>
    <t xml:space="preserve">Responsable asignado</t>
  </si>
  <si>
    <t xml:space="preserve">Torrente Parra Daniel Ignacio</t>
  </si>
  <si>
    <t xml:space="preserve">Apoyo en la ejecución</t>
  </si>
  <si>
    <t xml:space="preserve">Tamayo Osorio Miguel Ángel, con apoyo de IA (Claude)</t>
  </si>
  <si>
    <t xml:space="preserve">Semillero</t>
  </si>
  <si>
    <t xml:space="preserve">Semillero de Investigación GEOPAV · Ingeniería Civil · Universidad de Ibagué · Paz y Región 2026B</t>
  </si>
  <si>
    <t xml:space="preserve">Fecha de elaboración</t>
  </si>
  <si>
    <t xml:space="preserve">29 sep 2026</t>
  </si>
  <si>
    <t xml:space="preserve">Advertencia</t>
  </si>
  <si>
    <t xml:space="preserve">La fuente no publica la tarifa de la Ferropista: el ahorro bruto es un techo que se reparte entre operador y transportador. Solo tractocamiones con costos eficientes SICE-TAC; pesos constantes de sep 2026; demanda del proponente (INVÍAS 2017 proyectado).</t>
  </si>
  <si>
    <t xml:space="preserve">Índice de hojas (tabla de contenido)</t>
  </si>
  <si>
    <t xml:space="preserve">Entradas</t>
  </si>
  <si>
    <t xml:space="preserve">Tabla 1. Entradas leídas de las Act 1-3 y de la fuente primaria</t>
  </si>
  <si>
    <t xml:space="preserve">Por viaje</t>
  </si>
  <si>
    <t xml:space="preserve">Tabla 2. Costo de un cruce por carretera y por Ferropista (sin tarifa) y tarifa de indiferencia</t>
  </si>
  <si>
    <t xml:space="preserve">Anual</t>
  </si>
  <si>
    <t xml:space="preserve">Tabla 3. Demanda captada · Tabla 4. Ahorro bruto y horas ahorradas por año</t>
  </si>
  <si>
    <t xml:space="preserve">Tarifa</t>
  </si>
  <si>
    <t xml:space="preserve">Tabla 5. Ahorro que le queda al transportador según la tarifa</t>
  </si>
  <si>
    <t xml:space="preserve">Contraste</t>
  </si>
  <si>
    <t xml:space="preserve">Tabla 6. Contraste con las cifras de la fuente</t>
  </si>
  <si>
    <t xml:space="preserve">Fuentes</t>
  </si>
  <si>
    <t xml:space="preserve">Tabla 7. Fuentes citadas y huella md5</t>
  </si>
  <si>
    <t xml:space="preserve">Índice de tablas: tablas 1 a 7 según el índice de hojas. Índice de figuras: no tiene (las figuras van en el informe de la Act 5). Índice de anexos: no tiene. Script: OE6_Logistica/Act4_Ahorros/modelo_ahorros_OE6.py. Convención: azul = entrada leída de una fuente; verde = valor leído de otro producto del OE 6; fondo amarillo = hipótesis [H]; negro = fórmula. Marcas: [F] fuente citada · [CP] cálculo propio reproducible · [H] hipótesis declarada · [DA] dato por consultar. Elaborado con apoyo de IA (Claude) y verificado contra las fuentes.</t>
  </si>
  <si>
    <t xml:space="preserve">Tabla 1. Entradas del modelo</t>
  </si>
  <si>
    <t xml:space="preserve">Entrada</t>
  </si>
  <si>
    <t xml:space="preserve">Valor</t>
  </si>
  <si>
    <t xml:space="preserve">Unidad</t>
  </si>
  <si>
    <t xml:space="preserve">Origen</t>
  </si>
  <si>
    <t xml:space="preserve">Marca</t>
  </si>
  <si>
    <t xml:space="preserve">Costo fijo por hora de vehículo</t>
  </si>
  <si>
    <t xml:space="preserve">$/h</t>
  </si>
  <si>
    <t xml:space="preserve">Act 3 · matriz_costos_unitarios_OE6.json</t>
  </si>
  <si>
    <t xml:space="preserve">[CP]</t>
  </si>
  <si>
    <t xml:space="preserve">Costo variable por km sin combustible</t>
  </si>
  <si>
    <t xml:space="preserve">$/km</t>
  </si>
  <si>
    <t xml:space="preserve">Act 3</t>
  </si>
  <si>
    <t xml:space="preserve">Factor de otros costos f</t>
  </si>
  <si>
    <t xml:space="preserve">—</t>
  </si>
  <si>
    <t xml:space="preserve">Combustible por km · plano</t>
  </si>
  <si>
    <t xml:space="preserve">Combustible por km · ondulado</t>
  </si>
  <si>
    <t xml:space="preserve">Combustible por km · montaña</t>
  </si>
  <si>
    <t xml:space="preserve">Combustible por km · urbano</t>
  </si>
  <si>
    <t xml:space="preserve">Combustible por km · afirmado</t>
  </si>
  <si>
    <t xml:space="preserve">Grandes camiones en el Alto de La Línea (2017)</t>
  </si>
  <si>
    <t xml:space="preserve">veh/día</t>
  </si>
  <si>
    <t xml:space="preserve">INVÍAS 2017 citado por la fuente</t>
  </si>
  <si>
    <t xml:space="preserve">[F, dia. 10]</t>
  </si>
  <si>
    <t xml:space="preserve">Camiones medianos (2017)</t>
  </si>
  <si>
    <t xml:space="preserve">Crecimiento anual</t>
  </si>
  <si>
    <t xml:space="preserve">Fuente primaria</t>
  </si>
  <si>
    <t xml:space="preserve">Captación de grandes camiones en 2030</t>
  </si>
  <si>
    <t xml:space="preserve">Captación de camiones medianos en 2030</t>
  </si>
  <si>
    <t xml:space="preserve">Fracción del tránsito por sentido</t>
  </si>
  <si>
    <t xml:space="preserve">Hipótesis</t>
  </si>
  <si>
    <t xml:space="preserve">[H]</t>
  </si>
  <si>
    <t xml:space="preserve">Capacidad Ferropista (camiones/día)</t>
  </si>
  <si>
    <t xml:space="preserve">camiones/día</t>
  </si>
  <si>
    <t xml:space="preserve">Act 2 (140 trenes × 35)</t>
  </si>
  <si>
    <t xml:space="preserve">[F→CP]</t>
  </si>
  <si>
    <t xml:space="preserve">Por sentido y escenario (Act 1 y Act 2)</t>
  </si>
  <si>
    <t xml:space="preserve">Ibagué → Calarcá</t>
  </si>
  <si>
    <t xml:space="preserve">Calarcá → Ibagué</t>
  </si>
  <si>
    <t xml:space="preserve">Horas por carretera · Mínimo</t>
  </si>
  <si>
    <t xml:space="preserve">h</t>
  </si>
  <si>
    <t xml:space="preserve">Act 1 / Act 2 / Act 3</t>
  </si>
  <si>
    <t xml:space="preserve">Horas por carretera · Típico</t>
  </si>
  <si>
    <t xml:space="preserve">Horas por carretera · Máximo</t>
  </si>
  <si>
    <t xml:space="preserve">Horas por Ferropista · Mínimo</t>
  </si>
  <si>
    <t xml:space="preserve">Horas por Ferropista · Típico</t>
  </si>
  <si>
    <t xml:space="preserve">Horas por Ferropista · Máximo</t>
  </si>
  <si>
    <t xml:space="preserve">Km por carretera</t>
  </si>
  <si>
    <t xml:space="preserve">km</t>
  </si>
  <si>
    <t xml:space="preserve">Combustible del cruce por carretera (sin f)</t>
  </si>
  <si>
    <t xml:space="preserve">$</t>
  </si>
  <si>
    <t xml:space="preserve">Peajes del cruce por carretera</t>
  </si>
  <si>
    <t xml:space="preserve">Km de acceso con Ferropista</t>
  </si>
  <si>
    <t xml:space="preserve">Tabla 2. Costo de un cruce Ibagué–Calarcá por carretera y por Ferropista (sin tarifa) y tarifa de indiferencia</t>
  </si>
  <si>
    <t xml:space="preserve">Sentido</t>
  </si>
  <si>
    <t xml:space="preserve">Rango</t>
  </si>
  <si>
    <t xml:space="preserve">Horas carretera</t>
  </si>
  <si>
    <t xml:space="preserve">Horas Ferropista</t>
  </si>
  <si>
    <t xml:space="preserve">Horas ahorradas</t>
  </si>
  <si>
    <t xml:space="preserve">Costo carretera ($)</t>
  </si>
  <si>
    <t xml:space="preserve">Costo Ferropista sin tarifa ($)</t>
  </si>
  <si>
    <t xml:space="preserve">Tarifa de indiferencia ($/camión)</t>
  </si>
  <si>
    <t xml:space="preserve">Reducción del costo (%)</t>
  </si>
  <si>
    <t xml:space="preserve">Bajo</t>
  </si>
  <si>
    <t xml:space="preserve">Central</t>
  </si>
  <si>
    <t xml:space="preserve">Alto</t>
  </si>
  <si>
    <t xml:space="preserve">Rango bajo = carretera en flujo libre (modelo SICE-TAC) frente a la Ferropista más lenta; central = típico frente a típico; alto = carretera con pare y siga frente a la Ferropista más rápida. Una tarifa de indiferencia negativa significa que, en ese caso, la carretera es más barata aunque la Ferropista no cobre nada. No incluye cargue ni descargue de la mercancía (iguales en los dos modos).</t>
  </si>
  <si>
    <t xml:space="preserve">Tabla 3. Demanda captada por la Ferropista (tractocamiones)</t>
  </si>
  <si>
    <t xml:space="preserve">Año</t>
  </si>
  <si>
    <t xml:space="preserve">Grandes camiones/día (proyección)</t>
  </si>
  <si>
    <t xml:space="preserve">Captación</t>
  </si>
  <si>
    <t xml:space="preserve">Camiones/día captados</t>
  </si>
  <si>
    <t xml:space="preserve">Camiones/año</t>
  </si>
  <si>
    <t xml:space="preserve">Ocupación de la capacidad</t>
  </si>
  <si>
    <t xml:space="preserve">La captación del 90 % es la prevista por la fuente para 2030; se aplica igual a 2026 para mostrar el orden de magnitud con la demanda de hoy [H].</t>
  </si>
  <si>
    <t xml:space="preserve">Tabla 4. Ahorro operativo bruto anual y horas ahorradas</t>
  </si>
  <si>
    <t xml:space="preserve">Ahorro bruto ($/año)</t>
  </si>
  <si>
    <t xml:space="preserve">Ahorro bruto (miles de millones $)</t>
  </si>
  <si>
    <t xml:space="preserve">Horas ahorradas, grandes camiones</t>
  </si>
  <si>
    <t xml:space="preserve">Horas ahorradas, medianos [H]</t>
  </si>
  <si>
    <t xml:space="preserve">Horas totales (millones)</t>
  </si>
  <si>
    <t xml:space="preserve">Horas de camiones medianos [H]: se les aplica la misma reducción de tiempo que a los tractocamiones solo para comparar con la cifra de horas de la fuente; su ahorro en pesos no se calcula porque el SICE-TAC se consultó solo para 3S3.</t>
  </si>
  <si>
    <t xml:space="preserve">Tabla 5. Ahorro anual que le queda al transportador según la tarifa (miles de millones de $, año 2030)</t>
  </si>
  <si>
    <t xml:space="preserve">Tarifa como fracción de la tarifa de indiferencia</t>
  </si>
  <si>
    <t xml:space="preserve">Con tarifa = 100 % de la de indiferencia, todo el ahorro lo captura el operador y el transportador queda igual que por carretera. La fuente no dice cómo se reparte.</t>
  </si>
  <si>
    <t xml:space="preserve">Tabla 6. Contraste con las cifras de la fuente (año 2030)</t>
  </si>
  <si>
    <t xml:space="preserve">Indicador</t>
  </si>
  <si>
    <t xml:space="preserve">Fuente</t>
  </si>
  <si>
    <t xml:space="preserve">Este modelo · bajo</t>
  </si>
  <si>
    <t xml:space="preserve">Este modelo · central</t>
  </si>
  <si>
    <t xml:space="preserve">Este modelo · alto</t>
  </si>
  <si>
    <t xml:space="preserve">Marca de la fuente</t>
  </si>
  <si>
    <t xml:space="preserve">Horas ahorradas al año (millones)</t>
  </si>
  <si>
    <t xml:space="preserve">[F, dia. 28]; la dia. 29 rotula 5,3</t>
  </si>
  <si>
    <t xml:space="preserve">Ahorro del sector transporte (billones de $)</t>
  </si>
  <si>
    <t xml:space="preserve">[F, dia. 28]</t>
  </si>
  <si>
    <t xml:space="preserve">Tiempo de cruce: actual → Ferropista</t>
  </si>
  <si>
    <t xml:space="preserve">4 h → 70 min</t>
  </si>
  <si>
    <t xml:space="preserve">ver Act 2</t>
  </si>
  <si>
    <t xml:space="preserve">4,00 h → 135 min (Ibagué → Calarcá)</t>
  </si>
  <si>
    <t xml:space="preserve">[F, dia. 29]</t>
  </si>
  <si>
    <t xml:space="preserve">La fuente no explica cómo obtiene 5,0 M h ni 2,5 billones (qué vehículos, qué valor del tiempo, qué año de precios). Este modelo cuenta solo costos de operación de tractocamiones con precios de sep 2026; no incluye el valor del tiempo de la carga, ni de los pasajeros, ni externalidades. Por eso la diferencia no prueba que la fuente esté mal: muestra cuánto de su cifra no se puede reproducir con datos oficiales de costo de operación.</t>
  </si>
  <si>
    <t xml:space="preserve">Tabla 7. Fuentes citadas y huella md5 de los archivos usados</t>
  </si>
  <si>
    <t xml:space="preserve">Clave</t>
  </si>
  <si>
    <t xml:space="preserve">Referencia</t>
  </si>
  <si>
    <t xml:space="preserve">Archivo local</t>
  </si>
  <si>
    <t xml:space="preserve">md5</t>
  </si>
  <si>
    <t xml:space="preserve">PON</t>
  </si>
  <si>
    <t xml:space="preserve">Fernández Ordóñez, H. O. (2025). Túnel para cruce férreo de la Cordillera Central de los Andes y semilla para la Estrella Andina. XX Seminario Andino de Túneles y Obras Subterráneas, SAI, Medellín, 8 oct 2025. Fuente primaria del proyecto.</t>
  </si>
  <si>
    <t xml:space="preserve">Túnel para cruce férreo cordillera Central -SAI- 08octubre2025.pdf</t>
  </si>
  <si>
    <t xml:space="preserve">2e7d264eb6d98f368dc9a6bd5bf5bd6d</t>
  </si>
  <si>
    <t xml:space="preserve">SICETAC_IBG_CAL</t>
  </si>
  <si>
    <t xml:space="preserve">Ministerio de Transporte. SICE-TAC, consulta pública (plc.mintransporte.gov.co), periodo de referencia 20260901: tractocamión 3S3, portacontenedores, contenedor cargado, cargado, 2 h de cargue y 2 h de descargue. Rutas 14037 (Ibagué–Calarcá) y 15393 (Calarcá–Ibagué). Consultado y guardado en PDF el 29 sep 2026.</t>
  </si>
  <si>
    <t xml:space="preserve">OE6_Logistica/Fuentes/sicetac_IBG_CAL_3S3.pdf</t>
  </si>
  <si>
    <t xml:space="preserve">c991f42266763925dbb7f1ff4d959ed5</t>
  </si>
  <si>
    <t xml:space="preserve">SICETAC_CAL_IBG</t>
  </si>
  <si>
    <t xml:space="preserve">OE6_Logistica/Fuentes/sicetac_CAL_IBG_3S3.pdf</t>
  </si>
  <si>
    <t xml:space="preserve">d5db8d1a5738d305169b755f79936152</t>
  </si>
</sst>
</file>

<file path=xl/styles.xml><?xml version="1.0" encoding="utf-8"?>
<styleSheet xmlns="http://schemas.openxmlformats.org/spreadsheetml/2006/main">
  <numFmts count="11">
    <numFmt numFmtId="164" formatCode="General"/>
    <numFmt numFmtId="165" formatCode="\$#,##0.00"/>
    <numFmt numFmtId="166" formatCode="0.0000%"/>
    <numFmt numFmtId="167" formatCode="#,##0"/>
    <numFmt numFmtId="168" formatCode="0.0%"/>
    <numFmt numFmtId="169" formatCode="0.000"/>
    <numFmt numFmtId="170" formatCode="\$#,##0"/>
    <numFmt numFmtId="171" formatCode="0%"/>
    <numFmt numFmtId="172" formatCode="#,##0.0"/>
    <numFmt numFmtId="173" formatCode="0.00"/>
    <numFmt numFmtId="174" formatCode="0.0"/>
  </numFmts>
  <fonts count="15">
    <font>
      <sz val="11"/>
      <color theme="1"/>
      <name val="Calibri"/>
      <family val="2"/>
      <charset val="1"/>
    </font>
    <font>
      <sz val="10"/>
      <name val="Arial"/>
      <family val="0"/>
    </font>
    <font>
      <sz val="10"/>
      <name val="Arial"/>
      <family val="0"/>
    </font>
    <font>
      <sz val="10"/>
      <name val="Arial"/>
      <family val="0"/>
    </font>
    <font>
      <b val="true"/>
      <sz val="18"/>
      <color rgb="FF178E2C"/>
      <name val="Calibri"/>
      <family val="0"/>
      <charset val="1"/>
    </font>
    <font>
      <sz val="12"/>
      <color rgb="FF193F77"/>
      <name val="Calibri"/>
      <family val="0"/>
      <charset val="1"/>
    </font>
    <font>
      <b val="true"/>
      <sz val="10"/>
      <name val="Calibri"/>
      <family val="0"/>
      <charset val="1"/>
    </font>
    <font>
      <sz val="10"/>
      <name val="Calibri"/>
      <family val="0"/>
      <charset val="1"/>
    </font>
    <font>
      <b val="true"/>
      <sz val="10"/>
      <color rgb="FFB91C1C"/>
      <name val="Calibri"/>
      <family val="0"/>
      <charset val="1"/>
    </font>
    <font>
      <b val="true"/>
      <sz val="12"/>
      <color rgb="FF193F77"/>
      <name val="Calibri"/>
      <family val="0"/>
      <charset val="1"/>
    </font>
    <font>
      <i val="true"/>
      <sz val="9"/>
      <color rgb="FF475569"/>
      <name val="Calibri"/>
      <family val="0"/>
      <charset val="1"/>
    </font>
    <font>
      <b val="true"/>
      <sz val="13"/>
      <color rgb="FF193F77"/>
      <name val="Calibri"/>
      <family val="0"/>
      <charset val="1"/>
    </font>
    <font>
      <b val="true"/>
      <sz val="10"/>
      <color rgb="FFFFFFFF"/>
      <name val="Calibri"/>
      <family val="0"/>
      <charset val="1"/>
    </font>
    <font>
      <sz val="10"/>
      <color rgb="FF008000"/>
      <name val="Calibri"/>
      <family val="0"/>
      <charset val="1"/>
    </font>
    <font>
      <sz val="10"/>
      <color rgb="FF0000FF"/>
      <name val="Calibri"/>
      <family val="0"/>
      <charset val="1"/>
    </font>
  </fonts>
  <fills count="5">
    <fill>
      <patternFill patternType="none"/>
    </fill>
    <fill>
      <patternFill patternType="gray125"/>
    </fill>
    <fill>
      <patternFill patternType="solid">
        <fgColor rgb="FF193F77"/>
        <bgColor rgb="FF333399"/>
      </patternFill>
    </fill>
    <fill>
      <patternFill patternType="solid">
        <fgColor rgb="FFFFF7D6"/>
        <bgColor rgb="FFE8F3EA"/>
      </patternFill>
    </fill>
    <fill>
      <patternFill patternType="solid">
        <fgColor rgb="FFE8F3EA"/>
        <bgColor rgb="FFFFF7D6"/>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13"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13" fillId="0" borderId="1" xfId="0" applyFont="true" applyBorder="true" applyAlignment="true" applyProtection="false">
      <alignment horizontal="general" vertical="top" textRotation="0" wrapText="false" indent="0" shrinkToFit="false"/>
      <protection locked="true" hidden="false"/>
    </xf>
    <xf numFmtId="167" fontId="14" fillId="0" borderId="1" xfId="0" applyFont="true" applyBorder="true" applyAlignment="true" applyProtection="false">
      <alignment horizontal="general" vertical="top" textRotation="0" wrapText="false" indent="0" shrinkToFit="false"/>
      <protection locked="true" hidden="false"/>
    </xf>
    <xf numFmtId="168" fontId="14" fillId="0" borderId="1" xfId="0" applyFont="true" applyBorder="true" applyAlignment="true" applyProtection="false">
      <alignment horizontal="general" vertical="top" textRotation="0" wrapText="false" indent="0" shrinkToFit="false"/>
      <protection locked="true" hidden="false"/>
    </xf>
    <xf numFmtId="168" fontId="7" fillId="3" borderId="1" xfId="0" applyFont="true" applyBorder="true" applyAlignment="true" applyProtection="false">
      <alignment horizontal="general" vertical="top" textRotation="0" wrapText="false" indent="0" shrinkToFit="false"/>
      <protection locked="true" hidden="false"/>
    </xf>
    <xf numFmtId="167" fontId="13" fillId="0" borderId="1" xfId="0" applyFont="true" applyBorder="true" applyAlignment="true" applyProtection="false">
      <alignment horizontal="general" vertical="top" textRotation="0" wrapText="false" indent="0" shrinkToFit="false"/>
      <protection locked="true" hidden="false"/>
    </xf>
    <xf numFmtId="169" fontId="13" fillId="0" borderId="1" xfId="0" applyFont="true" applyBorder="true" applyAlignment="true" applyProtection="false">
      <alignment horizontal="general" vertical="top" textRotation="0" wrapText="false" indent="0" shrinkToFit="false"/>
      <protection locked="true" hidden="false"/>
    </xf>
    <xf numFmtId="170" fontId="13"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70" fontId="6" fillId="4"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70" fontId="7" fillId="4" borderId="1" xfId="0" applyFont="true" applyBorder="true" applyAlignment="true" applyProtection="false">
      <alignment horizontal="general" vertical="top" textRotation="0" wrapText="false" indent="0" shrinkToFit="false"/>
      <protection locked="true" hidden="false"/>
    </xf>
    <xf numFmtId="172" fontId="7" fillId="0" borderId="1" xfId="0" applyFont="true" applyBorder="true" applyAlignment="true" applyProtection="false">
      <alignment horizontal="general" vertical="top" textRotation="0" wrapText="false" indent="0" shrinkToFit="false"/>
      <protection locked="true" hidden="false"/>
    </xf>
    <xf numFmtId="167" fontId="7" fillId="3" borderId="1" xfId="0" applyFont="true" applyBorder="true" applyAlignment="true" applyProtection="false">
      <alignment horizontal="general" vertical="top" textRotation="0" wrapText="false" indent="0" shrinkToFit="false"/>
      <protection locked="true" hidden="false"/>
    </xf>
    <xf numFmtId="173" fontId="7" fillId="0" borderId="1" xfId="0" applyFont="true" applyBorder="true" applyAlignment="true" applyProtection="false">
      <alignment horizontal="general" vertical="top" textRotation="0" wrapText="false" indent="0" shrinkToFit="false"/>
      <protection locked="true" hidden="false"/>
    </xf>
    <xf numFmtId="171" fontId="14" fillId="0" borderId="1" xfId="0" applyFont="true" applyBorder="true" applyAlignment="true" applyProtection="false">
      <alignment horizontal="general" vertical="top" textRotation="0" wrapText="false" indent="0" shrinkToFit="false"/>
      <protection locked="true" hidden="false"/>
    </xf>
    <xf numFmtId="174" fontId="14" fillId="0" borderId="1" xfId="0" applyFont="true" applyBorder="true" applyAlignment="true" applyProtection="false">
      <alignment horizontal="general" vertical="top" textRotation="0" wrapText="false" indent="0" shrinkToFit="false"/>
      <protection locked="true" hidden="false"/>
    </xf>
    <xf numFmtId="164" fontId="14" fillId="0" borderId="1" xfId="0" applyFont="true" applyBorder="true" applyAlignment="true" applyProtection="false">
      <alignment horizontal="general"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D6"/>
      <rgbColor rgb="FFE8F3EA"/>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75569"/>
      <rgbColor rgb="FF969696"/>
      <rgbColor rgb="FF193F77"/>
      <rgbColor rgb="FF178E2C"/>
      <rgbColor rgb="FF003300"/>
      <rgbColor rgb="FF333300"/>
      <rgbColor rgb="FFB91C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2</xdr:col>
      <xdr:colOff>794160</xdr:colOff>
      <xdr:row>4</xdr:row>
      <xdr:rowOff>94680</xdr:rowOff>
    </xdr:to>
    <xdr:pic>
      <xdr:nvPicPr>
        <xdr:cNvPr id="0" name="Image 1" descr="Picture"/>
        <xdr:cNvPicPr/>
      </xdr:nvPicPr>
      <xdr:blipFill>
        <a:blip r:embed="rId1"/>
        <a:stretch/>
      </xdr:blipFill>
      <xdr:spPr>
        <a:xfrm>
          <a:off x="211320" y="190440"/>
          <a:ext cx="2485800" cy="666360"/>
        </a:xfrm>
        <a:prstGeom prst="rect">
          <a:avLst/>
        </a:prstGeom>
        <a:ln w="0">
          <a:noFill/>
        </a:ln>
      </xdr:spPr>
    </xdr:pic>
    <xdr:clientData/>
  </xdr:twoCellAnchor>
  <xdr:twoCellAnchor editAs="oneCell">
    <xdr:from>
      <xdr:col>5</xdr:col>
      <xdr:colOff>0</xdr:colOff>
      <xdr:row>1</xdr:row>
      <xdr:rowOff>0</xdr:rowOff>
    </xdr:from>
    <xdr:to>
      <xdr:col>5</xdr:col>
      <xdr:colOff>666360</xdr:colOff>
      <xdr:row>4</xdr:row>
      <xdr:rowOff>94680</xdr:rowOff>
    </xdr:to>
    <xdr:pic>
      <xdr:nvPicPr>
        <xdr:cNvPr id="1" name="Image 2" descr="Picture"/>
        <xdr:cNvPicPr/>
      </xdr:nvPicPr>
      <xdr:blipFill>
        <a:blip r:embed="rId2"/>
        <a:stretch/>
      </xdr:blipFill>
      <xdr:spPr>
        <a:xfrm>
          <a:off x="6555240" y="190440"/>
          <a:ext cx="666360" cy="6663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8:G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7" min="3" style="0" width="22"/>
    <col collapsed="false" customWidth="true" hidden="false" outlineLevel="0" max="8" min="8" style="0" width="3"/>
  </cols>
  <sheetData>
    <row r="8" customFormat="false" ht="22.05" hidden="false" customHeight="false" outlineLevel="0" collapsed="false">
      <c r="B8" s="1" t="s">
        <v>0</v>
      </c>
    </row>
    <row r="9" customFormat="false" ht="15" hidden="false" customHeight="false" outlineLevel="0" collapsed="false">
      <c r="B9" s="2" t="s">
        <v>1</v>
      </c>
    </row>
    <row r="11" customFormat="false" ht="57.75" hidden="false" customHeight="true" outlineLevel="0" collapsed="false">
      <c r="B11" s="3" t="s">
        <v>2</v>
      </c>
      <c r="C11" s="4" t="s">
        <v>3</v>
      </c>
      <c r="D11" s="4"/>
      <c r="E11" s="4"/>
      <c r="F11" s="4"/>
      <c r="G11" s="4"/>
    </row>
    <row r="12" customFormat="false" ht="30" hidden="false" customHeight="true" outlineLevel="0" collapsed="false">
      <c r="B12" s="3" t="s">
        <v>4</v>
      </c>
      <c r="C12" s="4" t="s">
        <v>5</v>
      </c>
      <c r="D12" s="4"/>
      <c r="E12" s="4"/>
      <c r="F12" s="4"/>
      <c r="G12" s="4"/>
    </row>
    <row r="13" customFormat="false" ht="30" hidden="false" customHeight="true" outlineLevel="0" collapsed="false">
      <c r="B13" s="3" t="s">
        <v>6</v>
      </c>
      <c r="C13" s="4" t="s">
        <v>7</v>
      </c>
      <c r="D13" s="4"/>
      <c r="E13" s="4"/>
      <c r="F13" s="4"/>
      <c r="G13" s="4"/>
    </row>
    <row r="14" customFormat="false" ht="30" hidden="false" customHeight="true" outlineLevel="0" collapsed="false">
      <c r="B14" s="3" t="s">
        <v>8</v>
      </c>
      <c r="C14" s="4" t="s">
        <v>9</v>
      </c>
      <c r="D14" s="4"/>
      <c r="E14" s="4"/>
      <c r="F14" s="4"/>
      <c r="G14" s="4"/>
    </row>
    <row r="15" customFormat="false" ht="30" hidden="false" customHeight="true" outlineLevel="0" collapsed="false">
      <c r="B15" s="3" t="s">
        <v>10</v>
      </c>
      <c r="C15" s="4" t="s">
        <v>11</v>
      </c>
      <c r="D15" s="4"/>
      <c r="E15" s="4"/>
      <c r="F15" s="4"/>
      <c r="G15" s="4"/>
    </row>
    <row r="16" customFormat="false" ht="30" hidden="false" customHeight="true" outlineLevel="0" collapsed="false">
      <c r="B16" s="3" t="s">
        <v>12</v>
      </c>
      <c r="C16" s="4" t="s">
        <v>13</v>
      </c>
      <c r="D16" s="4"/>
      <c r="E16" s="4"/>
      <c r="F16" s="4"/>
      <c r="G16" s="4"/>
    </row>
    <row r="17" customFormat="false" ht="30" hidden="false" customHeight="true" outlineLevel="0" collapsed="false">
      <c r="B17" s="3" t="s">
        <v>14</v>
      </c>
      <c r="C17" s="4" t="s">
        <v>15</v>
      </c>
      <c r="D17" s="4"/>
      <c r="E17" s="4"/>
      <c r="F17" s="4"/>
      <c r="G17" s="4"/>
    </row>
    <row r="18" customFormat="false" ht="30" hidden="false" customHeight="true" outlineLevel="0" collapsed="false">
      <c r="B18" s="3" t="s">
        <v>16</v>
      </c>
      <c r="C18" s="4" t="s">
        <v>17</v>
      </c>
      <c r="D18" s="4"/>
      <c r="E18" s="4"/>
      <c r="F18" s="4"/>
      <c r="G18" s="4"/>
    </row>
    <row r="19" customFormat="false" ht="57.75" hidden="false" customHeight="true" outlineLevel="0" collapsed="false">
      <c r="B19" s="3" t="s">
        <v>18</v>
      </c>
      <c r="C19" s="5" t="s">
        <v>19</v>
      </c>
      <c r="D19" s="5"/>
      <c r="E19" s="5"/>
      <c r="F19" s="5"/>
      <c r="G19" s="5"/>
    </row>
    <row r="21" customFormat="false" ht="15" hidden="false" customHeight="false" outlineLevel="0" collapsed="false">
      <c r="B21" s="6" t="s">
        <v>20</v>
      </c>
    </row>
    <row r="22" customFormat="false" ht="15" hidden="false" customHeight="true" outlineLevel="0" collapsed="false">
      <c r="B22" s="7" t="s">
        <v>21</v>
      </c>
      <c r="C22" s="4" t="s">
        <v>22</v>
      </c>
      <c r="D22" s="4"/>
      <c r="E22" s="4"/>
      <c r="F22" s="4"/>
      <c r="G22" s="4"/>
    </row>
    <row r="23" customFormat="false" ht="15" hidden="false" customHeight="true" outlineLevel="0" collapsed="false">
      <c r="B23" s="7" t="s">
        <v>23</v>
      </c>
      <c r="C23" s="4" t="s">
        <v>24</v>
      </c>
      <c r="D23" s="4"/>
      <c r="E23" s="4"/>
      <c r="F23" s="4"/>
      <c r="G23" s="4"/>
    </row>
    <row r="24" customFormat="false" ht="15" hidden="false" customHeight="true" outlineLevel="0" collapsed="false">
      <c r="B24" s="7" t="s">
        <v>25</v>
      </c>
      <c r="C24" s="4" t="s">
        <v>26</v>
      </c>
      <c r="D24" s="4"/>
      <c r="E24" s="4"/>
      <c r="F24" s="4"/>
      <c r="G24" s="4"/>
    </row>
    <row r="25" customFormat="false" ht="15" hidden="false" customHeight="true" outlineLevel="0" collapsed="false">
      <c r="B25" s="7" t="s">
        <v>27</v>
      </c>
      <c r="C25" s="4" t="s">
        <v>28</v>
      </c>
      <c r="D25" s="4"/>
      <c r="E25" s="4"/>
      <c r="F25" s="4"/>
      <c r="G25" s="4"/>
    </row>
    <row r="26" customFormat="false" ht="15" hidden="false" customHeight="true" outlineLevel="0" collapsed="false">
      <c r="B26" s="7" t="s">
        <v>29</v>
      </c>
      <c r="C26" s="4" t="s">
        <v>30</v>
      </c>
      <c r="D26" s="4"/>
      <c r="E26" s="4"/>
      <c r="F26" s="4"/>
      <c r="G26" s="4"/>
    </row>
    <row r="27" customFormat="false" ht="15" hidden="false" customHeight="true" outlineLevel="0" collapsed="false">
      <c r="B27" s="7" t="s">
        <v>31</v>
      </c>
      <c r="C27" s="4" t="s">
        <v>32</v>
      </c>
      <c r="D27" s="4"/>
      <c r="E27" s="4"/>
      <c r="F27" s="4"/>
      <c r="G27" s="4"/>
    </row>
    <row r="29" customFormat="false" ht="15" hidden="false" customHeight="true" outlineLevel="0" collapsed="false">
      <c r="B29" s="8" t="s">
        <v>33</v>
      </c>
      <c r="C29" s="8"/>
      <c r="D29" s="8"/>
      <c r="E29" s="8"/>
      <c r="F29" s="8"/>
      <c r="G29" s="8"/>
    </row>
    <row r="30" customFormat="false" ht="15" hidden="false" customHeight="false" outlineLevel="0" collapsed="false">
      <c r="B30" s="8"/>
      <c r="C30" s="8"/>
      <c r="D30" s="8"/>
      <c r="E30" s="8"/>
      <c r="F30" s="8"/>
      <c r="G30" s="8"/>
    </row>
    <row r="31" customFormat="false" ht="15" hidden="false" customHeight="false" outlineLevel="0" collapsed="false">
      <c r="B31" s="8"/>
      <c r="C31" s="8"/>
      <c r="D31" s="8"/>
      <c r="E31" s="8"/>
      <c r="F31" s="8"/>
      <c r="G31" s="8"/>
    </row>
    <row r="32" customFormat="false" ht="15" hidden="false" customHeight="false" outlineLevel="0" collapsed="false">
      <c r="B32" s="8"/>
      <c r="C32" s="8"/>
      <c r="D32" s="8"/>
      <c r="E32" s="8"/>
      <c r="F32" s="8"/>
      <c r="G32" s="8"/>
    </row>
    <row r="33" customFormat="false" ht="15" hidden="false" customHeight="false" outlineLevel="0" collapsed="false">
      <c r="B33" s="8"/>
      <c r="C33" s="8"/>
      <c r="D33" s="8"/>
      <c r="E33" s="8"/>
      <c r="F33" s="8"/>
      <c r="G33" s="8"/>
    </row>
  </sheetData>
  <mergeCells count="16">
    <mergeCell ref="C11:G11"/>
    <mergeCell ref="C12:G12"/>
    <mergeCell ref="C13:G13"/>
    <mergeCell ref="C14:G14"/>
    <mergeCell ref="C15:G15"/>
    <mergeCell ref="C16:G16"/>
    <mergeCell ref="C17:G17"/>
    <mergeCell ref="C18:G18"/>
    <mergeCell ref="C19:G19"/>
    <mergeCell ref="C22:G22"/>
    <mergeCell ref="C23:G23"/>
    <mergeCell ref="C24:G24"/>
    <mergeCell ref="C25:G25"/>
    <mergeCell ref="C26:G26"/>
    <mergeCell ref="C27:G27"/>
    <mergeCell ref="B29:G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8"/>
    <col collapsed="false" customWidth="true" hidden="false" outlineLevel="0" max="4" min="4" style="0" width="52"/>
    <col collapsed="false" customWidth="true" hidden="false" outlineLevel="0" max="5" min="5" style="0" width="14"/>
  </cols>
  <sheetData>
    <row r="1" customFormat="false" ht="16.15" hidden="false" customHeight="false" outlineLevel="0" collapsed="false">
      <c r="A1" s="9" t="s">
        <v>34</v>
      </c>
    </row>
    <row r="3" customFormat="false" ht="42" hidden="false" customHeight="true" outlineLevel="0" collapsed="false">
      <c r="A3" s="10" t="s">
        <v>35</v>
      </c>
      <c r="B3" s="10" t="s">
        <v>36</v>
      </c>
      <c r="C3" s="10" t="s">
        <v>37</v>
      </c>
      <c r="D3" s="10" t="s">
        <v>38</v>
      </c>
      <c r="E3" s="10" t="s">
        <v>39</v>
      </c>
    </row>
    <row r="4" customFormat="false" ht="15" hidden="false" customHeight="false" outlineLevel="0" collapsed="false">
      <c r="A4" s="11" t="s">
        <v>40</v>
      </c>
      <c r="B4" s="12" t="n">
        <v>74054.4774782609</v>
      </c>
      <c r="C4" s="11" t="s">
        <v>41</v>
      </c>
      <c r="D4" s="13" t="s">
        <v>42</v>
      </c>
      <c r="E4" s="11" t="s">
        <v>43</v>
      </c>
    </row>
    <row r="5" customFormat="false" ht="15" hidden="false" customHeight="false" outlineLevel="0" collapsed="false">
      <c r="A5" s="11" t="s">
        <v>44</v>
      </c>
      <c r="B5" s="12" t="n">
        <v>1716.29125</v>
      </c>
      <c r="C5" s="11" t="s">
        <v>45</v>
      </c>
      <c r="D5" s="13" t="s">
        <v>46</v>
      </c>
      <c r="E5" s="11" t="s">
        <v>43</v>
      </c>
    </row>
    <row r="6" customFormat="false" ht="15" hidden="false" customHeight="false" outlineLevel="0" collapsed="false">
      <c r="A6" s="11" t="s">
        <v>47</v>
      </c>
      <c r="B6" s="14" t="n">
        <v>0.224824004063071</v>
      </c>
      <c r="C6" s="11" t="s">
        <v>48</v>
      </c>
      <c r="D6" s="13" t="s">
        <v>46</v>
      </c>
      <c r="E6" s="11" t="s">
        <v>43</v>
      </c>
    </row>
    <row r="7" customFormat="false" ht="15" hidden="false" customHeight="false" outlineLevel="0" collapsed="false">
      <c r="A7" s="11" t="s">
        <v>49</v>
      </c>
      <c r="B7" s="12" t="n">
        <v>1792.59259259259</v>
      </c>
      <c r="C7" s="11" t="s">
        <v>45</v>
      </c>
      <c r="D7" s="13" t="s">
        <v>46</v>
      </c>
      <c r="E7" s="11" t="s">
        <v>43</v>
      </c>
    </row>
    <row r="8" customFormat="false" ht="15" hidden="false" customHeight="false" outlineLevel="0" collapsed="false">
      <c r="A8" s="11" t="s">
        <v>50</v>
      </c>
      <c r="B8" s="12" t="n">
        <v>2420</v>
      </c>
      <c r="C8" s="11" t="s">
        <v>45</v>
      </c>
      <c r="D8" s="13" t="s">
        <v>46</v>
      </c>
      <c r="E8" s="11" t="s">
        <v>43</v>
      </c>
    </row>
    <row r="9" customFormat="false" ht="15" hidden="false" customHeight="false" outlineLevel="0" collapsed="false">
      <c r="A9" s="11" t="s">
        <v>51</v>
      </c>
      <c r="B9" s="12" t="n">
        <v>3563.19018404908</v>
      </c>
      <c r="C9" s="11" t="s">
        <v>45</v>
      </c>
      <c r="D9" s="13" t="s">
        <v>46</v>
      </c>
      <c r="E9" s="11" t="s">
        <v>43</v>
      </c>
    </row>
    <row r="10" customFormat="false" ht="15" hidden="false" customHeight="false" outlineLevel="0" collapsed="false">
      <c r="A10" s="11" t="s">
        <v>52</v>
      </c>
      <c r="B10" s="12" t="n">
        <v>3563.19018404908</v>
      </c>
      <c r="C10" s="11" t="s">
        <v>45</v>
      </c>
      <c r="D10" s="13" t="s">
        <v>46</v>
      </c>
      <c r="E10" s="11" t="s">
        <v>43</v>
      </c>
    </row>
    <row r="11" customFormat="false" ht="15" hidden="false" customHeight="false" outlineLevel="0" collapsed="false">
      <c r="A11" s="11" t="s">
        <v>53</v>
      </c>
      <c r="B11" s="12" t="n">
        <v>5611.59420289855</v>
      </c>
      <c r="C11" s="11" t="s">
        <v>45</v>
      </c>
      <c r="D11" s="13" t="s">
        <v>46</v>
      </c>
      <c r="E11" s="11" t="s">
        <v>43</v>
      </c>
    </row>
    <row r="12" customFormat="false" ht="15" hidden="false" customHeight="false" outlineLevel="0" collapsed="false">
      <c r="A12" s="11" t="s">
        <v>54</v>
      </c>
      <c r="B12" s="15" t="n">
        <v>2100</v>
      </c>
      <c r="C12" s="11" t="s">
        <v>55</v>
      </c>
      <c r="D12" s="13" t="s">
        <v>56</v>
      </c>
      <c r="E12" s="11" t="s">
        <v>57</v>
      </c>
    </row>
    <row r="13" customFormat="false" ht="15" hidden="false" customHeight="false" outlineLevel="0" collapsed="false">
      <c r="A13" s="11" t="s">
        <v>58</v>
      </c>
      <c r="B13" s="15" t="n">
        <v>1700</v>
      </c>
      <c r="C13" s="11" t="s">
        <v>55</v>
      </c>
      <c r="D13" s="13" t="s">
        <v>56</v>
      </c>
      <c r="E13" s="11" t="s">
        <v>57</v>
      </c>
    </row>
    <row r="14" customFormat="false" ht="15" hidden="false" customHeight="false" outlineLevel="0" collapsed="false">
      <c r="A14" s="11" t="s">
        <v>59</v>
      </c>
      <c r="B14" s="16" t="n">
        <v>0.03</v>
      </c>
      <c r="C14" s="11" t="s">
        <v>48</v>
      </c>
      <c r="D14" s="13" t="s">
        <v>60</v>
      </c>
      <c r="E14" s="11" t="s">
        <v>57</v>
      </c>
    </row>
    <row r="15" customFormat="false" ht="15" hidden="false" customHeight="false" outlineLevel="0" collapsed="false">
      <c r="A15" s="11" t="s">
        <v>61</v>
      </c>
      <c r="B15" s="16" t="n">
        <v>0.9</v>
      </c>
      <c r="C15" s="11" t="s">
        <v>48</v>
      </c>
      <c r="D15" s="13" t="s">
        <v>60</v>
      </c>
      <c r="E15" s="11" t="s">
        <v>57</v>
      </c>
    </row>
    <row r="16" customFormat="false" ht="15" hidden="false" customHeight="false" outlineLevel="0" collapsed="false">
      <c r="A16" s="11" t="s">
        <v>62</v>
      </c>
      <c r="B16" s="16" t="n">
        <v>0.6</v>
      </c>
      <c r="C16" s="11" t="s">
        <v>48</v>
      </c>
      <c r="D16" s="13" t="s">
        <v>60</v>
      </c>
      <c r="E16" s="11" t="s">
        <v>57</v>
      </c>
    </row>
    <row r="17" customFormat="false" ht="15" hidden="false" customHeight="false" outlineLevel="0" collapsed="false">
      <c r="A17" s="11" t="s">
        <v>63</v>
      </c>
      <c r="B17" s="17" t="n">
        <v>0.5</v>
      </c>
      <c r="C17" s="11" t="s">
        <v>48</v>
      </c>
      <c r="D17" s="13" t="s">
        <v>64</v>
      </c>
      <c r="E17" s="11" t="s">
        <v>65</v>
      </c>
    </row>
    <row r="18" customFormat="false" ht="15" hidden="false" customHeight="false" outlineLevel="0" collapsed="false">
      <c r="A18" s="11" t="s">
        <v>66</v>
      </c>
      <c r="B18" s="18" t="n">
        <v>4900</v>
      </c>
      <c r="C18" s="11" t="s">
        <v>67</v>
      </c>
      <c r="D18" s="13" t="s">
        <v>68</v>
      </c>
      <c r="E18" s="11" t="s">
        <v>69</v>
      </c>
    </row>
    <row r="20" customFormat="false" ht="42" hidden="false" customHeight="true" outlineLevel="0" collapsed="false">
      <c r="A20" s="10" t="s">
        <v>70</v>
      </c>
      <c r="B20" s="10" t="s">
        <v>71</v>
      </c>
      <c r="C20" s="10" t="s">
        <v>72</v>
      </c>
      <c r="D20" s="10" t="s">
        <v>37</v>
      </c>
      <c r="E20" s="10" t="s">
        <v>39</v>
      </c>
    </row>
    <row r="21" customFormat="false" ht="15" hidden="false" customHeight="false" outlineLevel="0" collapsed="false">
      <c r="A21" s="11" t="s">
        <v>73</v>
      </c>
      <c r="B21" s="19" t="n">
        <v>2.9975815542608</v>
      </c>
      <c r="C21" s="19" t="n">
        <v>2.47346542997848</v>
      </c>
      <c r="D21" s="11" t="s">
        <v>74</v>
      </c>
      <c r="E21" s="11" t="s">
        <v>75</v>
      </c>
    </row>
    <row r="22" customFormat="false" ht="15" hidden="false" customHeight="false" outlineLevel="0" collapsed="false">
      <c r="A22" s="11" t="s">
        <v>76</v>
      </c>
      <c r="B22" s="19" t="n">
        <v>4</v>
      </c>
      <c r="C22" s="19" t="n">
        <v>4</v>
      </c>
      <c r="D22" s="11" t="s">
        <v>74</v>
      </c>
      <c r="E22" s="11" t="s">
        <v>75</v>
      </c>
    </row>
    <row r="23" customFormat="false" ht="15" hidden="false" customHeight="false" outlineLevel="0" collapsed="false">
      <c r="A23" s="11" t="s">
        <v>77</v>
      </c>
      <c r="B23" s="19" t="n">
        <v>5</v>
      </c>
      <c r="C23" s="19" t="n">
        <v>5</v>
      </c>
      <c r="D23" s="11" t="s">
        <v>74</v>
      </c>
      <c r="E23" s="11" t="s">
        <v>75</v>
      </c>
    </row>
    <row r="24" customFormat="false" ht="15" hidden="false" customHeight="false" outlineLevel="0" collapsed="false">
      <c r="A24" s="11" t="s">
        <v>78</v>
      </c>
      <c r="B24" s="19" t="n">
        <v>1.81274273065701</v>
      </c>
      <c r="C24" s="19" t="n">
        <v>1.81209075359694</v>
      </c>
      <c r="D24" s="11" t="s">
        <v>74</v>
      </c>
      <c r="E24" s="11" t="s">
        <v>75</v>
      </c>
    </row>
    <row r="25" customFormat="false" ht="15" hidden="false" customHeight="false" outlineLevel="0" collapsed="false">
      <c r="A25" s="11" t="s">
        <v>79</v>
      </c>
      <c r="B25" s="19" t="n">
        <v>2.24621997292765</v>
      </c>
      <c r="C25" s="19" t="n">
        <v>2.24530355375073</v>
      </c>
      <c r="D25" s="11" t="s">
        <v>74</v>
      </c>
      <c r="E25" s="11" t="s">
        <v>75</v>
      </c>
    </row>
    <row r="26" customFormat="false" ht="15" hidden="false" customHeight="false" outlineLevel="0" collapsed="false">
      <c r="A26" s="11" t="s">
        <v>80</v>
      </c>
      <c r="B26" s="19" t="n">
        <v>2.93649047619048</v>
      </c>
      <c r="C26" s="19" t="n">
        <v>2.93505047619048</v>
      </c>
      <c r="D26" s="11" t="s">
        <v>74</v>
      </c>
      <c r="E26" s="11" t="s">
        <v>75</v>
      </c>
    </row>
    <row r="27" customFormat="false" ht="15" hidden="false" customHeight="false" outlineLevel="0" collapsed="false">
      <c r="A27" s="11" t="s">
        <v>81</v>
      </c>
      <c r="B27" s="19" t="n">
        <v>85.01</v>
      </c>
      <c r="C27" s="19" t="n">
        <v>76.17</v>
      </c>
      <c r="D27" s="11" t="s">
        <v>82</v>
      </c>
      <c r="E27" s="11" t="s">
        <v>75</v>
      </c>
    </row>
    <row r="28" customFormat="false" ht="15" hidden="false" customHeight="false" outlineLevel="0" collapsed="false">
      <c r="A28" s="11" t="s">
        <v>83</v>
      </c>
      <c r="B28" s="20" t="n">
        <v>253917.543576065</v>
      </c>
      <c r="C28" s="20" t="n">
        <v>213890.127716033</v>
      </c>
      <c r="D28" s="11" t="s">
        <v>84</v>
      </c>
      <c r="E28" s="11" t="s">
        <v>75</v>
      </c>
    </row>
    <row r="29" customFormat="false" ht="15" hidden="false" customHeight="false" outlineLevel="0" collapsed="false">
      <c r="A29" s="11" t="s">
        <v>85</v>
      </c>
      <c r="B29" s="20" t="n">
        <v>106700</v>
      </c>
      <c r="C29" s="20" t="n">
        <v>42900</v>
      </c>
      <c r="D29" s="11" t="s">
        <v>84</v>
      </c>
      <c r="E29" s="11" t="s">
        <v>75</v>
      </c>
    </row>
    <row r="30" customFormat="false" ht="15" hidden="false" customHeight="false" outlineLevel="0" collapsed="false">
      <c r="A30" s="11" t="s">
        <v>86</v>
      </c>
      <c r="B30" s="19" t="n">
        <v>21.4045</v>
      </c>
      <c r="C30" s="19" t="n">
        <v>21.3829</v>
      </c>
      <c r="D30" s="11" t="s">
        <v>82</v>
      </c>
      <c r="E30" s="11" t="s">
        <v>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5" min="3" style="0" width="12"/>
    <col collapsed="false" customWidth="true" hidden="false" outlineLevel="0" max="6" min="6" style="0" width="16"/>
    <col collapsed="false" customWidth="true" hidden="false" outlineLevel="0" max="8" min="7" style="0" width="18"/>
    <col collapsed="false" customWidth="true" hidden="false" outlineLevel="0" max="9" min="9" style="0" width="14"/>
  </cols>
  <sheetData>
    <row r="1" customFormat="false" ht="16.15" hidden="false" customHeight="false" outlineLevel="0" collapsed="false">
      <c r="A1" s="9" t="s">
        <v>87</v>
      </c>
    </row>
    <row r="3" customFormat="false" ht="42" hidden="false" customHeight="true" outlineLevel="0" collapsed="false">
      <c r="A3" s="10" t="s">
        <v>88</v>
      </c>
      <c r="B3" s="10" t="s">
        <v>89</v>
      </c>
      <c r="C3" s="10" t="s">
        <v>90</v>
      </c>
      <c r="D3" s="10" t="s">
        <v>91</v>
      </c>
      <c r="E3" s="10" t="s">
        <v>92</v>
      </c>
      <c r="F3" s="10" t="s">
        <v>93</v>
      </c>
      <c r="G3" s="10" t="s">
        <v>94</v>
      </c>
      <c r="H3" s="10" t="s">
        <v>95</v>
      </c>
      <c r="I3" s="10" t="s">
        <v>96</v>
      </c>
    </row>
    <row r="4" customFormat="false" ht="15" hidden="false" customHeight="false" outlineLevel="0" collapsed="false">
      <c r="A4" s="11" t="s">
        <v>71</v>
      </c>
      <c r="B4" s="21" t="s">
        <v>97</v>
      </c>
      <c r="C4" s="22" t="n">
        <f aca="false">Entradas!B21</f>
        <v>2.9975815542608</v>
      </c>
      <c r="D4" s="22" t="n">
        <f aca="false">Entradas!B26</f>
        <v>2.93649047619048</v>
      </c>
      <c r="E4" s="22" t="n">
        <f aca="false">C4-D4</f>
        <v>0.0610910780703189</v>
      </c>
      <c r="F4" s="23" t="n">
        <f aca="false">(Entradas!$B$4*C4+Entradas!B28+Entradas!B27*Entradas!$B$5+Entradas!B29)*(1+Entradas!$B$6)</f>
        <v>892288.939377768</v>
      </c>
      <c r="G4" s="23" t="n">
        <f aca="false">(Entradas!$B$4*D4+Entradas!B30*(Entradas!$B$5+Entradas!$B$11))*(1+Entradas!$B$6)</f>
        <v>458463.863175413</v>
      </c>
      <c r="H4" s="24" t="n">
        <f aca="false">F4-G4</f>
        <v>433825.076202355</v>
      </c>
      <c r="I4" s="25" t="n">
        <f aca="false">H4/F4</f>
        <v>0.486193493001135</v>
      </c>
    </row>
    <row r="5" customFormat="false" ht="15" hidden="false" customHeight="false" outlineLevel="0" collapsed="false">
      <c r="A5" s="11" t="s">
        <v>71</v>
      </c>
      <c r="B5" s="21" t="s">
        <v>98</v>
      </c>
      <c r="C5" s="22" t="n">
        <f aca="false">Entradas!B22</f>
        <v>4</v>
      </c>
      <c r="D5" s="22" t="n">
        <f aca="false">Entradas!B25</f>
        <v>2.24621997292765</v>
      </c>
      <c r="E5" s="22" t="n">
        <f aca="false">C5-D5</f>
        <v>1.75378002707235</v>
      </c>
      <c r="F5" s="23" t="n">
        <f aca="false">(Entradas!$B$4*C5+Entradas!B28+Entradas!B27*Entradas!$B$5+Entradas!B29)*(1+Entradas!$B$6)</f>
        <v>983212.002982212</v>
      </c>
      <c r="G5" s="23" t="n">
        <f aca="false">(Entradas!$B$4*D5+Entradas!B30*(Entradas!$B$5+Entradas!$B$9))*(1+Entradas!$B$6)</f>
        <v>342151.2867796</v>
      </c>
      <c r="H5" s="24" t="n">
        <f aca="false">F5-G5</f>
        <v>641060.716202612</v>
      </c>
      <c r="I5" s="25" t="n">
        <f aca="false">H5/F5</f>
        <v>0.652006601077072</v>
      </c>
    </row>
    <row r="6" customFormat="false" ht="15" hidden="false" customHeight="false" outlineLevel="0" collapsed="false">
      <c r="A6" s="11" t="s">
        <v>71</v>
      </c>
      <c r="B6" s="21" t="s">
        <v>99</v>
      </c>
      <c r="C6" s="22" t="n">
        <f aca="false">Entradas!B23</f>
        <v>5</v>
      </c>
      <c r="D6" s="22" t="n">
        <f aca="false">Entradas!B24</f>
        <v>1.81274273065701</v>
      </c>
      <c r="E6" s="22" t="n">
        <f aca="false">C6-D6</f>
        <v>3.18725726934299</v>
      </c>
      <c r="F6" s="23" t="n">
        <f aca="false">(Entradas!$B$4*C6+Entradas!B28+Entradas!B27*Entradas!$B$5+Entradas!B29)*(1+Entradas!$B$6)</f>
        <v>1073915.70460593</v>
      </c>
      <c r="G6" s="23" t="n">
        <f aca="false">(Entradas!$B$4*D6+Entradas!B30*(Entradas!$B$5+Entradas!$B$8))*(1+Entradas!$B$6)</f>
        <v>272862.570342768</v>
      </c>
      <c r="H6" s="24" t="n">
        <f aca="false">F6-G6</f>
        <v>801053.134263166</v>
      </c>
      <c r="I6" s="25" t="n">
        <f aca="false">H6/F6</f>
        <v>0.745918074228281</v>
      </c>
    </row>
    <row r="8" customFormat="false" ht="15" hidden="false" customHeight="false" outlineLevel="0" collapsed="false">
      <c r="A8" s="11" t="s">
        <v>72</v>
      </c>
      <c r="B8" s="21" t="s">
        <v>97</v>
      </c>
      <c r="C8" s="22" t="n">
        <f aca="false">Entradas!C21</f>
        <v>2.47346542997848</v>
      </c>
      <c r="D8" s="22" t="n">
        <f aca="false">Entradas!C26</f>
        <v>2.93505047619048</v>
      </c>
      <c r="E8" s="22" t="n">
        <f aca="false">C8-D8</f>
        <v>-0.461585046212</v>
      </c>
      <c r="F8" s="23" t="n">
        <f aca="false">(Entradas!$B$4*C8+Entradas!C28+Entradas!C27*Entradas!$B$5+Entradas!C29)*(1+Entradas!$B$6)</f>
        <v>698996.307866161</v>
      </c>
      <c r="G8" s="23" t="n">
        <f aca="false">(Entradas!$B$4*D8+Entradas!C30*(Entradas!$B$5+Entradas!$B$11))*(1+Entradas!$B$6)</f>
        <v>458139.381853038</v>
      </c>
      <c r="H8" s="24" t="n">
        <f aca="false">F8-G8</f>
        <v>240856.926013123</v>
      </c>
      <c r="I8" s="25" t="n">
        <f aca="false">H8/F8</f>
        <v>0.344575390889248</v>
      </c>
    </row>
    <row r="9" customFormat="false" ht="15" hidden="false" customHeight="false" outlineLevel="0" collapsed="false">
      <c r="A9" s="11" t="s">
        <v>72</v>
      </c>
      <c r="B9" s="21" t="s">
        <v>98</v>
      </c>
      <c r="C9" s="22" t="n">
        <f aca="false">Entradas!C22</f>
        <v>4</v>
      </c>
      <c r="D9" s="22" t="n">
        <f aca="false">Entradas!C25</f>
        <v>2.24530355375073</v>
      </c>
      <c r="E9" s="22" t="n">
        <f aca="false">C9-D9</f>
        <v>1.75469644624927</v>
      </c>
      <c r="F9" s="23" t="n">
        <f aca="false">(Entradas!$B$4*C9+Entradas!C28+Entradas!C27*Entradas!$B$5+Entradas!C29)*(1+Entradas!$B$6)</f>
        <v>837458.64402369</v>
      </c>
      <c r="G9" s="23" t="n">
        <f aca="false">(Entradas!$B$4*D9+Entradas!C30*(Entradas!$B$5+Entradas!$B$9))*(1+Entradas!$B$6)</f>
        <v>341928.489159283</v>
      </c>
      <c r="H9" s="24" t="n">
        <f aca="false">F9-G9</f>
        <v>495530.154864407</v>
      </c>
      <c r="I9" s="25" t="n">
        <f aca="false">H9/F9</f>
        <v>0.591707015505341</v>
      </c>
    </row>
    <row r="10" customFormat="false" ht="15" hidden="false" customHeight="false" outlineLevel="0" collapsed="false">
      <c r="A10" s="11" t="s">
        <v>72</v>
      </c>
      <c r="B10" s="21" t="s">
        <v>99</v>
      </c>
      <c r="C10" s="22" t="n">
        <f aca="false">Entradas!C23</f>
        <v>5</v>
      </c>
      <c r="D10" s="22" t="n">
        <f aca="false">Entradas!C24</f>
        <v>1.81209075359694</v>
      </c>
      <c r="E10" s="22" t="n">
        <f aca="false">C10-D10</f>
        <v>3.18790924640306</v>
      </c>
      <c r="F10" s="23" t="n">
        <f aca="false">(Entradas!$B$4*C10+Entradas!C28+Entradas!C27*Entradas!$B$5+Entradas!C29)*(1+Entradas!$B$6)</f>
        <v>928162.345647412</v>
      </c>
      <c r="G10" s="23" t="n">
        <f aca="false">(Entradas!$B$4*D10+Entradas!C30*(Entradas!$B$5+Entradas!$B$8))*(1+Entradas!$B$6)</f>
        <v>272694.003067733</v>
      </c>
      <c r="H10" s="24" t="n">
        <f aca="false">F10-G10</f>
        <v>655468.342579679</v>
      </c>
      <c r="I10" s="25" t="n">
        <f aca="false">H10/F10</f>
        <v>0.706200101365324</v>
      </c>
    </row>
    <row r="12" customFormat="false" ht="39" hidden="false" customHeight="true" outlineLevel="0" collapsed="false">
      <c r="A12" s="8" t="s">
        <v>100</v>
      </c>
      <c r="B12" s="8"/>
      <c r="C12" s="8"/>
      <c r="D12" s="8"/>
      <c r="E12" s="8"/>
      <c r="F12" s="8"/>
      <c r="G12" s="8"/>
      <c r="H12" s="8"/>
      <c r="I12" s="8"/>
    </row>
  </sheetData>
  <mergeCells count="1">
    <mergeCell ref="A12:I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20"/>
    <col collapsed="false" customWidth="true" hidden="false" outlineLevel="0" max="7" min="4" style="0" width="16"/>
  </cols>
  <sheetData>
    <row r="1" customFormat="false" ht="16.15" hidden="false" customHeight="false" outlineLevel="0" collapsed="false">
      <c r="A1" s="9" t="s">
        <v>101</v>
      </c>
    </row>
    <row r="3" customFormat="false" ht="42" hidden="false" customHeight="true" outlineLevel="0" collapsed="false">
      <c r="A3" s="10" t="s">
        <v>102</v>
      </c>
      <c r="B3" s="10" t="s">
        <v>103</v>
      </c>
      <c r="C3" s="10" t="s">
        <v>104</v>
      </c>
      <c r="D3" s="10" t="s">
        <v>105</v>
      </c>
      <c r="E3" s="10" t="s">
        <v>106</v>
      </c>
      <c r="F3" s="10" t="s">
        <v>107</v>
      </c>
    </row>
    <row r="4" customFormat="false" ht="15" hidden="false" customHeight="false" outlineLevel="0" collapsed="false">
      <c r="A4" s="21" t="n">
        <v>2026</v>
      </c>
      <c r="B4" s="26" t="n">
        <f aca="false">Entradas!$B$12*(1+Entradas!$B$14)^(A4-2017)</f>
        <v>2740.02368604141</v>
      </c>
      <c r="C4" s="27" t="n">
        <f aca="false">Entradas!$B$15</f>
        <v>0.9</v>
      </c>
      <c r="D4" s="26" t="n">
        <f aca="false">B4*C4</f>
        <v>2466.02131743727</v>
      </c>
      <c r="E4" s="26" t="n">
        <f aca="false">D4*365</f>
        <v>900097.780864605</v>
      </c>
      <c r="F4" s="27" t="n">
        <f aca="false">D4/Entradas!$B$18</f>
        <v>0.503269656619852</v>
      </c>
    </row>
    <row r="5" customFormat="false" ht="15" hidden="false" customHeight="false" outlineLevel="0" collapsed="false">
      <c r="A5" s="21" t="n">
        <v>2030</v>
      </c>
      <c r="B5" s="26" t="n">
        <f aca="false">Entradas!$B$12*(1+Entradas!$B$14)^(A5-2017)</f>
        <v>3083.92079824829</v>
      </c>
      <c r="C5" s="27" t="n">
        <f aca="false">Entradas!$B$15</f>
        <v>0.9</v>
      </c>
      <c r="D5" s="26" t="n">
        <f aca="false">B5*C5</f>
        <v>2775.52871842346</v>
      </c>
      <c r="E5" s="26" t="n">
        <f aca="false">D5*365</f>
        <v>1013067.98222456</v>
      </c>
      <c r="F5" s="27" t="n">
        <f aca="false">D5/Entradas!$B$18</f>
        <v>0.566434432331318</v>
      </c>
    </row>
    <row r="7" customFormat="false" ht="15" hidden="false" customHeight="true" outlineLevel="0" collapsed="false">
      <c r="A7" s="8" t="s">
        <v>108</v>
      </c>
      <c r="B7" s="8"/>
      <c r="C7" s="8"/>
      <c r="D7" s="8"/>
      <c r="E7" s="8"/>
      <c r="F7" s="8"/>
    </row>
    <row r="9" customFormat="false" ht="16.15" hidden="false" customHeight="false" outlineLevel="0" collapsed="false">
      <c r="A9" s="9" t="s">
        <v>109</v>
      </c>
    </row>
    <row r="10" customFormat="false" ht="42" hidden="false" customHeight="true" outlineLevel="0" collapsed="false">
      <c r="A10" s="10" t="s">
        <v>102</v>
      </c>
      <c r="B10" s="10" t="s">
        <v>89</v>
      </c>
      <c r="C10" s="10" t="s">
        <v>110</v>
      </c>
      <c r="D10" s="10" t="s">
        <v>111</v>
      </c>
      <c r="E10" s="10" t="s">
        <v>112</v>
      </c>
      <c r="F10" s="10" t="s">
        <v>113</v>
      </c>
      <c r="G10" s="10" t="s">
        <v>114</v>
      </c>
    </row>
    <row r="11" customFormat="false" ht="15" hidden="false" customHeight="false" outlineLevel="0" collapsed="false">
      <c r="A11" s="21" t="n">
        <v>2026</v>
      </c>
      <c r="B11" s="21" t="s">
        <v>97</v>
      </c>
      <c r="C11" s="28" t="n">
        <f aca="false">Entradas!$B$17*$E$4*('Por viaje'!H4+'Por viaje'!H8)</f>
        <v>303639886491.72</v>
      </c>
      <c r="D11" s="29" t="n">
        <f aca="false">C11/1000000000</f>
        <v>303.63988649172</v>
      </c>
      <c r="E11" s="26" t="n">
        <f aca="false">Entradas!$B$17*$E$4*('Por viaje'!E4+'Por viaje'!E8)</f>
        <v>-180241.865986993</v>
      </c>
      <c r="F11" s="30" t="n">
        <f aca="false">Entradas!$B$17*Entradas!$B$13*(1+Entradas!$B$14)^(A11-2017)*Entradas!$B$16*365*('Por viaje'!E4+'Por viaje'!E8)</f>
        <v>-97273.3879929805</v>
      </c>
      <c r="G11" s="31" t="n">
        <f aca="false">(E11+F11)/1000000</f>
        <v>-0.277515253979974</v>
      </c>
    </row>
    <row r="12" customFormat="false" ht="15" hidden="false" customHeight="false" outlineLevel="0" collapsed="false">
      <c r="A12" s="21" t="n">
        <v>2026</v>
      </c>
      <c r="B12" s="21" t="s">
        <v>98</v>
      </c>
      <c r="C12" s="28" t="n">
        <f aca="false">Entradas!$B$17*$E$4*('Por viaje'!H5+'Por viaje'!H9)</f>
        <v>511521460399.196</v>
      </c>
      <c r="D12" s="29" t="n">
        <f aca="false">C12/1000000000</f>
        <v>511.521460399196</v>
      </c>
      <c r="E12" s="26" t="n">
        <f aca="false">Entradas!$B$17*$E$4*('Por viaje'!E5+'Por viaje'!E9)</f>
        <v>1578985.94392623</v>
      </c>
      <c r="F12" s="30" t="n">
        <f aca="false">Entradas!$B$17*Entradas!$B$13*(1+Entradas!$B$14)^(A12-2017)*Entradas!$B$16*365*('Por viaje'!E5+'Por viaje'!E9)</f>
        <v>852151.14434114</v>
      </c>
      <c r="G12" s="31" t="n">
        <f aca="false">(E12+F12)/1000000</f>
        <v>2.43113708826737</v>
      </c>
    </row>
    <row r="13" customFormat="false" ht="15" hidden="false" customHeight="false" outlineLevel="0" collapsed="false">
      <c r="A13" s="21" t="n">
        <v>2026</v>
      </c>
      <c r="B13" s="21" t="s">
        <v>99</v>
      </c>
      <c r="C13" s="28" t="n">
        <f aca="false">Entradas!$B$17*$E$4*('Por viaje'!H6+'Por viaje'!H10)</f>
        <v>655505874543.94</v>
      </c>
      <c r="D13" s="29" t="n">
        <f aca="false">C13/1000000000</f>
        <v>655.50587454394</v>
      </c>
      <c r="E13" s="26" t="n">
        <f aca="false">Entradas!$B$17*$E$4*('Por viaje'!E6+'Por viaje'!E10)</f>
        <v>2869136.61673268</v>
      </c>
      <c r="F13" s="30" t="n">
        <f aca="false">Entradas!$B$17*Entradas!$B$13*(1+Entradas!$B$14)^(A13-2017)*Entradas!$B$16*365*('Por viaje'!E6+'Por viaje'!E10)</f>
        <v>1548422.93601446</v>
      </c>
      <c r="G13" s="31" t="n">
        <f aca="false">(E13+F13)/1000000</f>
        <v>4.41755955274714</v>
      </c>
    </row>
    <row r="14" customFormat="false" ht="15" hidden="false" customHeight="false" outlineLevel="0" collapsed="false">
      <c r="A14" s="21" t="n">
        <v>2030</v>
      </c>
      <c r="B14" s="21" t="s">
        <v>97</v>
      </c>
      <c r="C14" s="28" t="n">
        <f aca="false">Entradas!$B$17*$E$5*('Por viaje'!H4+'Por viaje'!H8)</f>
        <v>341749367313.831</v>
      </c>
      <c r="D14" s="29" t="n">
        <f aca="false">C14/1000000000</f>
        <v>341.749367313831</v>
      </c>
      <c r="E14" s="26" t="n">
        <f aca="false">Entradas!$B$17*$E$5*('Por viaje'!E4+'Por viaje'!E8)</f>
        <v>-202863.8080992</v>
      </c>
      <c r="F14" s="30" t="n">
        <f aca="false">Entradas!$B$17*Entradas!$B$13*(1+Entradas!$B$14)^(A14-2017)*Entradas!$B$16*365*('Por viaje'!E4+'Por viaje'!E8)</f>
        <v>-109482.055164648</v>
      </c>
      <c r="G14" s="31" t="n">
        <f aca="false">(E14+F14)/1000000</f>
        <v>-0.312345863263848</v>
      </c>
    </row>
    <row r="15" customFormat="false" ht="15" hidden="false" customHeight="false" outlineLevel="0" collapsed="false">
      <c r="A15" s="21" t="n">
        <v>2030</v>
      </c>
      <c r="B15" s="21" t="s">
        <v>98</v>
      </c>
      <c r="C15" s="28" t="n">
        <f aca="false">Entradas!$B$17*$E$5*('Por viaje'!H5+'Por viaje'!H9)</f>
        <v>575721910183.361</v>
      </c>
      <c r="D15" s="29" t="n">
        <f aca="false">C15/1000000000</f>
        <v>575.721910183361</v>
      </c>
      <c r="E15" s="26" t="n">
        <f aca="false">Entradas!$B$17*$E$5*('Por viaje'!E5+'Por viaje'!E9)</f>
        <v>1777162.59075514</v>
      </c>
      <c r="F15" s="30" t="n">
        <f aca="false">Entradas!$B$17*Entradas!$B$13*(1+Entradas!$B$14)^(A15-2017)*Entradas!$B$16*365*('Por viaje'!E5+'Por viaje'!E9)</f>
        <v>959103.620407535</v>
      </c>
      <c r="G15" s="31" t="n">
        <f aca="false">(E15+F15)/1000000</f>
        <v>2.73626621116267</v>
      </c>
    </row>
    <row r="16" customFormat="false" ht="15" hidden="false" customHeight="false" outlineLevel="0" collapsed="false">
      <c r="A16" s="21" t="n">
        <v>2030</v>
      </c>
      <c r="B16" s="21" t="s">
        <v>99</v>
      </c>
      <c r="C16" s="28" t="n">
        <f aca="false">Entradas!$B$17*$E$5*('Por viaje'!H6+'Por viaje'!H10)</f>
        <v>737777636805.96</v>
      </c>
      <c r="D16" s="29" t="n">
        <f aca="false">C16/1000000000</f>
        <v>737.77763680596</v>
      </c>
      <c r="E16" s="26" t="n">
        <f aca="false">Entradas!$B$17*$E$5*('Por viaje'!E6+'Por viaje'!E10)</f>
        <v>3229238.53922622</v>
      </c>
      <c r="F16" s="30" t="n">
        <f aca="false">Entradas!$B$17*Entradas!$B$13*(1+Entradas!$B$14)^(A16-2017)*Entradas!$B$16*365*('Por viaje'!E6+'Por viaje'!E10)</f>
        <v>1742763.65609034</v>
      </c>
      <c r="G16" s="31" t="n">
        <f aca="false">(E16+F16)/1000000</f>
        <v>4.97200219531656</v>
      </c>
    </row>
    <row r="18" customFormat="false" ht="25.5" hidden="false" customHeight="true" outlineLevel="0" collapsed="false">
      <c r="A18" s="8" t="s">
        <v>115</v>
      </c>
      <c r="B18" s="8"/>
      <c r="C18" s="8"/>
      <c r="D18" s="8"/>
      <c r="E18" s="8"/>
      <c r="F18" s="8"/>
      <c r="G18" s="8"/>
    </row>
  </sheetData>
  <mergeCells count="2">
    <mergeCell ref="A7:F7"/>
    <mergeCell ref="A18: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6"/>
  </cols>
  <sheetData>
    <row r="1" customFormat="false" ht="16.15" hidden="false" customHeight="false" outlineLevel="0" collapsed="false">
      <c r="A1" s="9" t="s">
        <v>116</v>
      </c>
    </row>
    <row r="3" customFormat="false" ht="42" hidden="false" customHeight="true" outlineLevel="0" collapsed="false">
      <c r="A3" s="10" t="s">
        <v>117</v>
      </c>
      <c r="B3" s="10" t="s">
        <v>97</v>
      </c>
      <c r="C3" s="10" t="s">
        <v>98</v>
      </c>
      <c r="D3" s="10" t="s">
        <v>99</v>
      </c>
    </row>
    <row r="4" customFormat="false" ht="15" hidden="false" customHeight="false" outlineLevel="0" collapsed="false">
      <c r="A4" s="32" t="n">
        <v>0</v>
      </c>
      <c r="B4" s="29" t="n">
        <f aca="false">Anual!D14*(1-$A4)</f>
        <v>341.749367313831</v>
      </c>
      <c r="C4" s="29" t="n">
        <f aca="false">Anual!D15*(1-$A4)</f>
        <v>575.721910183361</v>
      </c>
      <c r="D4" s="29" t="n">
        <f aca="false">Anual!D16*(1-$A4)</f>
        <v>737.77763680596</v>
      </c>
    </row>
    <row r="5" customFormat="false" ht="15" hidden="false" customHeight="false" outlineLevel="0" collapsed="false">
      <c r="A5" s="32" t="n">
        <v>0.5</v>
      </c>
      <c r="B5" s="29" t="n">
        <f aca="false">Anual!D14*(1-$A5)</f>
        <v>170.874683656915</v>
      </c>
      <c r="C5" s="29" t="n">
        <f aca="false">Anual!D15*(1-$A5)</f>
        <v>287.860955091681</v>
      </c>
      <c r="D5" s="29" t="n">
        <f aca="false">Anual!D16*(1-$A5)</f>
        <v>368.88881840298</v>
      </c>
    </row>
    <row r="6" customFormat="false" ht="15" hidden="false" customHeight="false" outlineLevel="0" collapsed="false">
      <c r="A6" s="32" t="n">
        <v>0.75</v>
      </c>
      <c r="B6" s="29" t="n">
        <f aca="false">Anual!D14*(1-$A6)</f>
        <v>85.4373418284577</v>
      </c>
      <c r="C6" s="29" t="n">
        <f aca="false">Anual!D15*(1-$A6)</f>
        <v>143.93047754584</v>
      </c>
      <c r="D6" s="29" t="n">
        <f aca="false">Anual!D16*(1-$A6)</f>
        <v>184.44440920149</v>
      </c>
    </row>
    <row r="7" customFormat="false" ht="15" hidden="false" customHeight="false" outlineLevel="0" collapsed="false">
      <c r="A7" s="32" t="n">
        <v>1</v>
      </c>
      <c r="B7" s="29" t="n">
        <f aca="false">Anual!D14*(1-$A7)</f>
        <v>0</v>
      </c>
      <c r="C7" s="29" t="n">
        <f aca="false">Anual!D15*(1-$A7)</f>
        <v>0</v>
      </c>
      <c r="D7" s="29" t="n">
        <f aca="false">Anual!D16*(1-$A7)</f>
        <v>0</v>
      </c>
    </row>
    <row r="9" customFormat="false" ht="25.5" hidden="false" customHeight="true" outlineLevel="0" collapsed="false">
      <c r="A9" s="8" t="s">
        <v>118</v>
      </c>
      <c r="B9" s="8"/>
      <c r="C9" s="8"/>
      <c r="D9" s="8"/>
    </row>
  </sheetData>
  <mergeCells count="1">
    <mergeCell ref="A9:D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5" min="3" style="0" width="16"/>
    <col collapsed="false" customWidth="true" hidden="false" outlineLevel="0" max="6" min="6" style="0" width="22"/>
  </cols>
  <sheetData>
    <row r="1" customFormat="false" ht="16.15" hidden="false" customHeight="false" outlineLevel="0" collapsed="false">
      <c r="A1" s="9" t="s">
        <v>119</v>
      </c>
    </row>
    <row r="3" customFormat="false" ht="42" hidden="false" customHeight="true" outlineLevel="0" collapsed="false">
      <c r="A3" s="10" t="s">
        <v>120</v>
      </c>
      <c r="B3" s="10" t="s">
        <v>121</v>
      </c>
      <c r="C3" s="10" t="s">
        <v>122</v>
      </c>
      <c r="D3" s="10" t="s">
        <v>123</v>
      </c>
      <c r="E3" s="10" t="s">
        <v>124</v>
      </c>
      <c r="F3" s="10" t="s">
        <v>125</v>
      </c>
    </row>
    <row r="4" customFormat="false" ht="15" hidden="false" customHeight="false" outlineLevel="0" collapsed="false">
      <c r="A4" s="11" t="s">
        <v>126</v>
      </c>
      <c r="B4" s="33" t="n">
        <v>5</v>
      </c>
      <c r="C4" s="31" t="n">
        <f aca="false">Anual!G14</f>
        <v>-0.312345863263848</v>
      </c>
      <c r="D4" s="31" t="n">
        <f aca="false">Anual!G15</f>
        <v>2.73626621116267</v>
      </c>
      <c r="E4" s="31" t="n">
        <f aca="false">Anual!G16</f>
        <v>4.97200219531656</v>
      </c>
      <c r="F4" s="11" t="s">
        <v>127</v>
      </c>
    </row>
    <row r="5" customFormat="false" ht="15" hidden="false" customHeight="false" outlineLevel="0" collapsed="false">
      <c r="A5" s="11" t="s">
        <v>128</v>
      </c>
      <c r="B5" s="33" t="n">
        <v>2.5</v>
      </c>
      <c r="C5" s="22" t="n">
        <f aca="false">Anual!D14/1000</f>
        <v>0.341749367313831</v>
      </c>
      <c r="D5" s="22" t="n">
        <f aca="false">Anual!D15/1000</f>
        <v>0.575721910183361</v>
      </c>
      <c r="E5" s="22" t="n">
        <f aca="false">Anual!D16/1000</f>
        <v>0.73777763680596</v>
      </c>
      <c r="F5" s="11" t="s">
        <v>129</v>
      </c>
    </row>
    <row r="6" customFormat="false" ht="15" hidden="false" customHeight="false" outlineLevel="0" collapsed="false">
      <c r="A6" s="11" t="s">
        <v>130</v>
      </c>
      <c r="B6" s="34" t="s">
        <v>131</v>
      </c>
      <c r="C6" s="11" t="s">
        <v>132</v>
      </c>
      <c r="D6" s="35" t="s">
        <v>133</v>
      </c>
      <c r="F6" s="11" t="s">
        <v>134</v>
      </c>
    </row>
    <row r="8" customFormat="false" ht="39" hidden="false" customHeight="true" outlineLevel="0" collapsed="false">
      <c r="A8" s="8" t="s">
        <v>135</v>
      </c>
      <c r="B8" s="8"/>
      <c r="C8" s="8"/>
      <c r="D8" s="8"/>
      <c r="E8" s="8"/>
      <c r="F8" s="8"/>
    </row>
  </sheetData>
  <mergeCells count="1">
    <mergeCell ref="A8:F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0"/>
    <col collapsed="false" customWidth="true" hidden="false" outlineLevel="0" max="3" min="3" style="0" width="46"/>
    <col collapsed="false" customWidth="true" hidden="false" outlineLevel="0" max="4" min="4" style="0" width="36"/>
  </cols>
  <sheetData>
    <row r="1" customFormat="false" ht="16.15" hidden="false" customHeight="false" outlineLevel="0" collapsed="false">
      <c r="A1" s="9" t="s">
        <v>136</v>
      </c>
    </row>
    <row r="3" customFormat="false" ht="42" hidden="false" customHeight="true" outlineLevel="0" collapsed="false">
      <c r="A3" s="10" t="s">
        <v>137</v>
      </c>
      <c r="B3" s="10" t="s">
        <v>138</v>
      </c>
      <c r="C3" s="10" t="s">
        <v>139</v>
      </c>
      <c r="D3" s="10" t="s">
        <v>140</v>
      </c>
    </row>
    <row r="4" customFormat="false" ht="43.5" hidden="false" customHeight="true" outlineLevel="0" collapsed="false">
      <c r="A4" s="21" t="s">
        <v>141</v>
      </c>
      <c r="B4" s="13" t="s">
        <v>142</v>
      </c>
      <c r="C4" s="13" t="s">
        <v>143</v>
      </c>
      <c r="D4" s="11" t="s">
        <v>144</v>
      </c>
    </row>
    <row r="5" customFormat="false" ht="43.5" hidden="false" customHeight="true" outlineLevel="0" collapsed="false">
      <c r="A5" s="21" t="s">
        <v>145</v>
      </c>
      <c r="B5" s="13" t="s">
        <v>146</v>
      </c>
      <c r="C5" s="13" t="s">
        <v>147</v>
      </c>
      <c r="D5" s="11" t="s">
        <v>148</v>
      </c>
    </row>
    <row r="6" customFormat="false" ht="43.5" hidden="false" customHeight="true" outlineLevel="0" collapsed="false">
      <c r="A6" s="21" t="s">
        <v>149</v>
      </c>
      <c r="B6" s="13" t="s">
        <v>146</v>
      </c>
      <c r="C6" s="13" t="s">
        <v>150</v>
      </c>
      <c r="D6" s="11" t="s">
        <v>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2026-09-29T21:15:11Z</dcterms:created>
  <dc:creator>openpyxl</dc:creator>
  <dc:description/>
  <dc:language>en-US</dc:language>
  <cp:lastModifiedBy/>
  <dcterms:modified xsi:type="dcterms:W3CDTF">2026-09-29T21:15:11Z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