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Insumos" sheetId="2" state="visible" r:id="rId4"/>
    <sheet name="Unitarios" sheetId="3" state="visible" r:id="rId5"/>
    <sheet name="Verificación" sheetId="4" state="visible" r:id="rId6"/>
    <sheet name="Peajes" sheetId="5" state="visible" r:id="rId7"/>
    <sheet name="Fu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<sst xmlns="http://schemas.openxmlformats.org/spreadsheetml/2006/main" count="223" uniqueCount="156">
  <si>
    <t xml:space="preserve">Matriz de costos operativos unitarios del transporte de carga</t>
  </si>
  <si>
    <t xml:space="preserve">Objetivo específico 6 · Actividad 3 — Tractocamión 3S3 portacontenedor, costos eficientes SICE-TAC (sep 2026)</t>
  </si>
  <si>
    <t xml:space="preserve">Objetivo</t>
  </si>
  <si>
    <t xml:space="preserve">OE 6: Determinar la eficiencia logística del sistema intermodal Ferropista, calculando la reducción de tiempos de ciclo y de costos operativos frente a la operación actual por la Ruta 40.</t>
  </si>
  <si>
    <t xml:space="preserve">Actividad</t>
  </si>
  <si>
    <t xml:space="preserve">3. Estructuración de la matriz de costos operativos unitarios del transporte de carga</t>
  </si>
  <si>
    <t xml:space="preserve">Entregable / formato</t>
  </si>
  <si>
    <t xml:space="preserve">Matriz de costos unitarios · Documento Excel</t>
  </si>
  <si>
    <t xml:space="preserve">Periodo</t>
  </si>
  <si>
    <t xml:space="preserve">Bloque 2 del Plan de Acción (5 oct - 7 nov 2026)</t>
  </si>
  <si>
    <t xml:space="preserve">Responsable asignado</t>
  </si>
  <si>
    <t xml:space="preserve">Torrente Parra Daniel Ignacio</t>
  </si>
  <si>
    <t xml:space="preserve">Apoyo en la ejecución</t>
  </si>
  <si>
    <t xml:space="preserve">Tamayo Osorio Miguel Ángel, con apoyo de IA (Claude)</t>
  </si>
  <si>
    <t xml:space="preserve">Semillero</t>
  </si>
  <si>
    <t xml:space="preserve">Semillero de Investigación GEOPAV · Ingeniería Civil · Universidad de Ibagué · Paz y Región 2026B</t>
  </si>
  <si>
    <t xml:space="preserve">Fecha de elaboración</t>
  </si>
  <si>
    <t xml:space="preserve">29 sep 2026</t>
  </si>
  <si>
    <t xml:space="preserve">Advertencia</t>
  </si>
  <si>
    <t xml:space="preserve">Son costos EFICIENTES de referencia del Ministerio (piso para la relación transportador–generador), no costos observados de una flota. Un solo vehículo representativo (3S3 portacontenedor); los camiones medianos no se modelan.</t>
  </si>
  <si>
    <t xml:space="preserve">Índice de hojas (tabla de contenido)</t>
  </si>
  <si>
    <t xml:space="preserve">Insumos</t>
  </si>
  <si>
    <t xml:space="preserve">Tabla 1. Insumos de las consultas SICE-TAC por sentido</t>
  </si>
  <si>
    <t xml:space="preserve">Unitarios</t>
  </si>
  <si>
    <t xml:space="preserve">Tabla 2. Costos unitarios por hora y por kilómetro · Tabla 3. Combustible por terreno · Tabla 4. Factor de otros costos</t>
  </si>
  <si>
    <t xml:space="preserve">Verificación</t>
  </si>
  <si>
    <t xml:space="preserve">Tabla 5. Reproducción del costo SICE-TAC con los unitarios</t>
  </si>
  <si>
    <t xml:space="preserve">Peajes</t>
  </si>
  <si>
    <t xml:space="preserve">Tabla 6. Peajes de la Ruta 40 por sentido, categoría V</t>
  </si>
  <si>
    <t xml:space="preserve">Fuentes</t>
  </si>
  <si>
    <t xml:space="preserve">Tabla 7. Fuentes citadas y huella md5</t>
  </si>
  <si>
    <t xml:space="preserve">Índice de tablas: tablas 1 a 7 según el índice de hojas. Índice de figuras: no tiene. Índice de anexos: las consultas SICE-TAC en PDF, en OE6_Logistica/Fuentes/. Script: OE6_Logistica/Act3_CostosUnitarios/matriz_costos_unitarios_OE6.py. Convención: azul = entrada leída de una fuente; verde = valor leído de otro producto del OE 6; fondo amarillo = hipótesis [H]; negro = fórmula. Marcas: [F] fuente citada · [CP] cálculo propio reproducible · [H] hipótesis declarada · [DA] dato por consultar. Elaborado con apoyo de IA (Claude) y verificado contra las fuentes.</t>
  </si>
  <si>
    <t xml:space="preserve">Tabla 1. Insumos leídos de las consultas SICE-TAC (periodo 20260901)</t>
  </si>
  <si>
    <t xml:space="preserve">Insumo</t>
  </si>
  <si>
    <t xml:space="preserve">Ibagué → Calarcá</t>
  </si>
  <si>
    <t xml:space="preserve">Calarcá → Ibagué</t>
  </si>
  <si>
    <t xml:space="preserve">Unidad</t>
  </si>
  <si>
    <t xml:space="preserve">Costos fijos del mes</t>
  </si>
  <si>
    <t xml:space="preserve">$/mes</t>
  </si>
  <si>
    <t xml:space="preserve">Horas hábiles del mes</t>
  </si>
  <si>
    <t xml:space="preserve">h</t>
  </si>
  <si>
    <t xml:space="preserve">Horas logísticas (cargue + descargue)</t>
  </si>
  <si>
    <t xml:space="preserve">Valor ACPM</t>
  </si>
  <si>
    <t xml:space="preserve">$/galón</t>
  </si>
  <si>
    <t xml:space="preserve">Llantas</t>
  </si>
  <si>
    <t xml:space="preserve">$/km</t>
  </si>
  <si>
    <t xml:space="preserve">Lubricantes</t>
  </si>
  <si>
    <t xml:space="preserve">Filtros</t>
  </si>
  <si>
    <t xml:space="preserve">Mantenimiento y reparación</t>
  </si>
  <si>
    <t xml:space="preserve">Lavado y engrase</t>
  </si>
  <si>
    <t xml:space="preserve">Tasa de imprevistos</t>
  </si>
  <si>
    <t xml:space="preserve">—</t>
  </si>
  <si>
    <t xml:space="preserve">Subtotal costos fijos del viaje</t>
  </si>
  <si>
    <t xml:space="preserve">$</t>
  </si>
  <si>
    <t xml:space="preserve">Subtotal costos variables del viaje</t>
  </si>
  <si>
    <t xml:space="preserve">Comisiones + factor prestacional</t>
  </si>
  <si>
    <t xml:space="preserve">Factor administrativo</t>
  </si>
  <si>
    <t xml:space="preserve">Retefuente + ICA</t>
  </si>
  <si>
    <t xml:space="preserve">Peajes del viaje</t>
  </si>
  <si>
    <t xml:space="preserve">Costo hora (publicado)</t>
  </si>
  <si>
    <t xml:space="preserve">$/h</t>
  </si>
  <si>
    <t xml:space="preserve">Costo movilización carga (publicado)</t>
  </si>
  <si>
    <t xml:space="preserve">Costo total del viaje (publicado)</t>
  </si>
  <si>
    <t xml:space="preserve">Distancia total</t>
  </si>
  <si>
    <t xml:space="preserve">km</t>
  </si>
  <si>
    <t xml:space="preserve">Terreno</t>
  </si>
  <si>
    <t xml:space="preserve">km Ibagué → Calarcá</t>
  </si>
  <si>
    <t xml:space="preserve">km Calarcá → Ibagué</t>
  </si>
  <si>
    <t xml:space="preserve">Velocidad (km/h)</t>
  </si>
  <si>
    <t xml:space="preserve">Rendimiento (km/galón)</t>
  </si>
  <si>
    <t xml:space="preserve">Plano</t>
  </si>
  <si>
    <t xml:space="preserve">Ondulado</t>
  </si>
  <si>
    <t xml:space="preserve">Montaña</t>
  </si>
  <si>
    <t xml:space="preserve">Urbano</t>
  </si>
  <si>
    <t xml:space="preserve">Afirmado</t>
  </si>
  <si>
    <t xml:space="preserve">Todas las cifras en azul se leen automáticamente del PDF de la consulta (script, sin transcripción manual). El SICE-TAC publica en formato numérico en-US; aquí se muestran en es-CO.</t>
  </si>
  <si>
    <t xml:space="preserve">Tabla 2. Costos unitarios del tractocamión 3S3 (pesos de septiembre de 2026)</t>
  </si>
  <si>
    <t xml:space="preserve">Unidad de costo</t>
  </si>
  <si>
    <t xml:space="preserve">Valor</t>
  </si>
  <si>
    <t xml:space="preserve">Cómo se obtiene</t>
  </si>
  <si>
    <t xml:space="preserve">Marca</t>
  </si>
  <si>
    <t xml:space="preserve">Costo fijo por hora de vehículo</t>
  </si>
  <si>
    <t xml:space="preserve">Costos fijos del mes / horas hábiles del mes</t>
  </si>
  <si>
    <t xml:space="preserve">[CP]</t>
  </si>
  <si>
    <t xml:space="preserve">Costo variable por km sin combustible</t>
  </si>
  <si>
    <t xml:space="preserve">(Llantas + lubricantes + filtros + mantenimiento + lavado) × (1 + imprevistos)</t>
  </si>
  <si>
    <t xml:space="preserve">Factor de otros costos f</t>
  </si>
  <si>
    <t xml:space="preserve">(Comisiones + administrativo + retefuente e ICA) / (fijos + variables del viaje)</t>
  </si>
  <si>
    <t xml:space="preserve">Costo por hora con otros costos</t>
  </si>
  <si>
    <t xml:space="preserve">Costo fijo por hora × (1 + f). Debe igualar el «costo hora» publicado</t>
  </si>
  <si>
    <t xml:space="preserve">Control: costo hora publicado</t>
  </si>
  <si>
    <t xml:space="preserve">SICE-TAC (resumen de la consulta)</t>
  </si>
  <si>
    <t xml:space="preserve">[F]</t>
  </si>
  <si>
    <t xml:space="preserve">Diferencia relativa</t>
  </si>
  <si>
    <t xml:space="preserve">Criterio: |dif.| ≤ 0,1 %</t>
  </si>
  <si>
    <t xml:space="preserve">Tabla 3. Combustible por kilómetro y tipo de terreno</t>
  </si>
  <si>
    <t xml:space="preserve">Combustible ($/km)</t>
  </si>
  <si>
    <t xml:space="preserve">Valor ACPM / rendimiento del terreno</t>
  </si>
  <si>
    <t xml:space="preserve">Tabla 4. Desglose del factor de otros costos</t>
  </si>
  <si>
    <t xml:space="preserve">Componente</t>
  </si>
  <si>
    <t xml:space="preserve">Tasa sobre fijos + variables</t>
  </si>
  <si>
    <t xml:space="preserve">Rótulo en el SICE-TAC</t>
  </si>
  <si>
    <t xml:space="preserve">Comisiones + Factor Prestacional</t>
  </si>
  <si>
    <t xml:space="preserve">Factor Administrativo (5 %)</t>
  </si>
  <si>
    <t xml:space="preserve">Retefuente + ICA (3,5 % + 0,3 %) = 3,8 %</t>
  </si>
  <si>
    <t xml:space="preserve">El SICE-TAC reparte los costos fijos del mes entre los viajes por horas (factor de viajes = horas hábiles / horas de recorrido); por eso el costo fijo es un costo por HORA de vehículo, que vale tanto conduciendo como esperando o viajando sobre el tren. Horas hábiles: 230 h/mes, vigentes desde el 15 jul 2026 (el SICE-TAC las bajó de 238 h por la Ley 2101 de 2021, según las «fechas de actualización» de la propia consulta); el protocolo de la Res. 20243040057465 de 2024 partía de 288 h.</t>
  </si>
  <si>
    <t xml:space="preserve">Tabla 5. Reproducción del costo SICE-TAC con los costos unitarios (criterio: diferencia ≤ 0,1 %)</t>
  </si>
  <si>
    <t xml:space="preserve">Concepto</t>
  </si>
  <si>
    <t xml:space="preserve">Horas de viaje</t>
  </si>
  <si>
    <t xml:space="preserve">Σ km / velocidad por terreno</t>
  </si>
  <si>
    <t xml:space="preserve">Combustible del viaje</t>
  </si>
  <si>
    <t xml:space="preserve">Σ km × combustible por km</t>
  </si>
  <si>
    <t xml:space="preserve">Variables sin combustible</t>
  </si>
  <si>
    <t xml:space="preserve">km totales × costo variable por km</t>
  </si>
  <si>
    <t xml:space="preserve">Listado oficial de peajes (Tabla 6)</t>
  </si>
  <si>
    <t xml:space="preserve">Costo de movilización reproducido</t>
  </si>
  <si>
    <t xml:space="preserve">(costo fijo/h × horas + variables) × (1 + f)</t>
  </si>
  <si>
    <t xml:space="preserve">Costo de movilización publicado</t>
  </si>
  <si>
    <t xml:space="preserve">SICE-TAC [F]</t>
  </si>
  <si>
    <t xml:space="preserve">Costo total del viaje reproducido</t>
  </si>
  <si>
    <t xml:space="preserve">Incluye las 4 h logísticas mínimas</t>
  </si>
  <si>
    <t xml:space="preserve">Costo total del viaje publicado</t>
  </si>
  <si>
    <t xml:space="preserve">Si alguna diferencia supera el 0,1 %, el script se detiene antes de escribir este archivo. Resultado de la corrida: Ibagué → Calarcá: movilización -0,0003 %, total -0,0003 %; Calarcá → Ibagué: movilización -0,0007 %, total -0,0006 %.</t>
  </si>
  <si>
    <t xml:space="preserve">Tabla 6. Peajes de la Ruta 40 entre Ibagué y Calarcá, categoría V (tractocamión 3S3)</t>
  </si>
  <si>
    <t xml:space="preserve">Sentido</t>
  </si>
  <si>
    <t xml:space="preserve">Peaje</t>
  </si>
  <si>
    <t xml:space="preserve">Tarifa ($)</t>
  </si>
  <si>
    <t xml:space="preserve">COCORA</t>
  </si>
  <si>
    <t xml:space="preserve">[F] listado SICE-TAC 01-09-2026</t>
  </si>
  <si>
    <t xml:space="preserve">TUNEL DE LA LINEA TOLIMA</t>
  </si>
  <si>
    <t xml:space="preserve">TUNEL DE LA LINEA QUINDIO</t>
  </si>
  <si>
    <t xml:space="preserve">El peaje de Cocora solo se cobra en sentido Ibagué → Cajamarca; por eso el viaje de ida paga 106.700 $ y el de regreso 42.900 $.</t>
  </si>
  <si>
    <t xml:space="preserve">Tabla 7. Fuentes citadas y huella md5 de los archivos usados</t>
  </si>
  <si>
    <t xml:space="preserve">Clave</t>
  </si>
  <si>
    <t xml:space="preserve">Referencia</t>
  </si>
  <si>
    <t xml:space="preserve">Archivo local</t>
  </si>
  <si>
    <t xml:space="preserve">md5</t>
  </si>
  <si>
    <t xml:space="preserve">SICETAC_IBG_CAL</t>
  </si>
  <si>
    <t xml:space="preserve">Ministerio de Transporte. SICE-TAC, consulta pública (plc.mintransporte.gov.co), periodo de referencia 20260901: tractocamión 3S3, portacontenedores, contenedor cargado, cargado, 2 h de cargue y 2 h de descargue. Rutas 14037 (Ibagué–Calarcá) y 15393 (Calarcá–Ibagué). Consultado y guardado en PDF el 29 sep 2026.</t>
  </si>
  <si>
    <t xml:space="preserve">OE6_Logistica/Fuentes/sicetac_IBG_CAL_3S3.pdf</t>
  </si>
  <si>
    <t xml:space="preserve">c991f42266763925dbb7f1ff4d959ed5</t>
  </si>
  <si>
    <t xml:space="preserve">SICETAC_CAL_IBG</t>
  </si>
  <si>
    <t xml:space="preserve">OE6_Logistica/Fuentes/sicetac_CAL_IBG_3S3.pdf</t>
  </si>
  <si>
    <t xml:space="preserve">d5db8d1a5738d305169b755f79936152</t>
  </si>
  <si>
    <t xml:space="preserve">SICETAC_PEAJ</t>
  </si>
  <si>
    <t xml:space="preserve">Ministerio de Transporte. Peajes por rutas con tarifas, SICE-TAC, corte 01-09-2026 (xlsx).</t>
  </si>
  <si>
    <t xml:space="preserve">OE6_Logistica/Fuentes/PeajesPorRutasConTarifas_SICETAC_2026-09-01.xlsx</t>
  </si>
  <si>
    <t xml:space="preserve">fc08f828f3d1785a0a236a0cdc44a8c2</t>
  </si>
  <si>
    <t xml:space="preserve">RES2024</t>
  </si>
  <si>
    <t xml:space="preserve">Ministerio de Transporte. Resolución 20243040057465 del 26-11-2024, protocolo SICE-TAC (anexo), págs. 13-14.</t>
  </si>
  <si>
    <t xml:space="preserve">OE6_Logistica/Fuentes/Anexo_Resolucion_20243040057465.pdf</t>
  </si>
  <si>
    <t xml:space="preserve">4b904c9c93e17704b40d7829009435d5</t>
  </si>
  <si>
    <t xml:space="preserve">RES2026</t>
  </si>
  <si>
    <t xml:space="preserve">Ministerio de Transporte. Resolución 20263040018445 de 2026 (14-05-2026), actualización del SICE-TAC.</t>
  </si>
  <si>
    <t xml:space="preserve">OE6_Logistica/Fuentes/Resolucion_20263040018445_14-05-2026_SICE-TAC.pdf</t>
  </si>
  <si>
    <t xml:space="preserve">28f13ac110aa2ecd716f217ffac04e11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</si>
</sst>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0.0%"/>
    <numFmt numFmtId="168" formatCode="0.00"/>
    <numFmt numFmtId="169" formatCode="0.0000%"/>
    <numFmt numFmtId="170" formatCode="0.000%"/>
    <numFmt numFmtId="171" formatCode="0.0000"/>
    <numFmt numFmtId="172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8E2C"/>
      <name val="Calibri"/>
      <family val="0"/>
      <charset val="1"/>
    </font>
    <font>
      <sz val="12"/>
      <color rgb="FF193F77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b val="true"/>
      <sz val="12"/>
      <color rgb="FF193F77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3"/>
      <color rgb="FF193F7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93F77"/>
        <bgColor rgb="FF333399"/>
      </patternFill>
    </fill>
    <fill>
      <patternFill patternType="solid">
        <fgColor rgb="FFE8F3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78E2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3EA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794160</xdr:colOff>
      <xdr:row>4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48580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666360</xdr:colOff>
      <xdr:row>4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555240" y="19044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3"/>
  </cols>
  <sheetData>
    <row r="8" customFormat="false" ht="22.05" hidden="false" customHeight="false" outlineLevel="0" collapsed="false">
      <c r="B8" s="1" t="s">
        <v>0</v>
      </c>
    </row>
    <row r="9" customFormat="false" ht="15" hidden="false" customHeight="false" outlineLevel="0" collapsed="false">
      <c r="B9" s="2" t="s">
        <v>1</v>
      </c>
    </row>
    <row r="11" customFormat="false" ht="57.75" hidden="false" customHeight="true" outlineLevel="0" collapsed="false">
      <c r="B11" s="3" t="s">
        <v>2</v>
      </c>
      <c r="C11" s="4" t="s">
        <v>3</v>
      </c>
      <c r="D11" s="4"/>
      <c r="E11" s="4"/>
      <c r="F11" s="4"/>
      <c r="G11" s="4"/>
    </row>
    <row r="12" customFormat="false" ht="30" hidden="false" customHeight="true" outlineLevel="0" collapsed="false">
      <c r="B12" s="3" t="s">
        <v>4</v>
      </c>
      <c r="C12" s="4" t="s">
        <v>5</v>
      </c>
      <c r="D12" s="4"/>
      <c r="E12" s="4"/>
      <c r="F12" s="4"/>
      <c r="G12" s="4"/>
    </row>
    <row r="13" customFormat="false" ht="30" hidden="false" customHeight="true" outlineLevel="0" collapsed="false">
      <c r="B13" s="3" t="s">
        <v>6</v>
      </c>
      <c r="C13" s="4" t="s">
        <v>7</v>
      </c>
      <c r="D13" s="4"/>
      <c r="E13" s="4"/>
      <c r="F13" s="4"/>
      <c r="G13" s="4"/>
    </row>
    <row r="14" customFormat="false" ht="30" hidden="false" customHeight="true" outlineLevel="0" collapsed="false">
      <c r="B14" s="3" t="s">
        <v>8</v>
      </c>
      <c r="C14" s="4" t="s">
        <v>9</v>
      </c>
      <c r="D14" s="4"/>
      <c r="E14" s="4"/>
      <c r="F14" s="4"/>
      <c r="G14" s="4"/>
    </row>
    <row r="15" customFormat="false" ht="30" hidden="false" customHeight="true" outlineLevel="0" collapsed="false">
      <c r="B15" s="3" t="s">
        <v>10</v>
      </c>
      <c r="C15" s="4" t="s">
        <v>11</v>
      </c>
      <c r="D15" s="4"/>
      <c r="E15" s="4"/>
      <c r="F15" s="4"/>
      <c r="G15" s="4"/>
    </row>
    <row r="16" customFormat="false" ht="30" hidden="false" customHeight="true" outlineLevel="0" collapsed="false">
      <c r="B16" s="3" t="s">
        <v>12</v>
      </c>
      <c r="C16" s="4" t="s">
        <v>13</v>
      </c>
      <c r="D16" s="4"/>
      <c r="E16" s="4"/>
      <c r="F16" s="4"/>
      <c r="G16" s="4"/>
    </row>
    <row r="17" customFormat="false" ht="30" hidden="false" customHeight="true" outlineLevel="0" collapsed="false">
      <c r="B17" s="3" t="s">
        <v>14</v>
      </c>
      <c r="C17" s="4" t="s">
        <v>15</v>
      </c>
      <c r="D17" s="4"/>
      <c r="E17" s="4"/>
      <c r="F17" s="4"/>
      <c r="G17" s="4"/>
    </row>
    <row r="18" customFormat="false" ht="30" hidden="false" customHeight="true" outlineLevel="0" collapsed="false">
      <c r="B18" s="3" t="s">
        <v>16</v>
      </c>
      <c r="C18" s="4" t="s">
        <v>17</v>
      </c>
      <c r="D18" s="4"/>
      <c r="E18" s="4"/>
      <c r="F18" s="4"/>
      <c r="G18" s="4"/>
    </row>
    <row r="19" customFormat="false" ht="57.75" hidden="false" customHeight="true" outlineLevel="0" collapsed="false">
      <c r="B19" s="3" t="s">
        <v>18</v>
      </c>
      <c r="C19" s="5" t="s">
        <v>19</v>
      </c>
      <c r="D19" s="5"/>
      <c r="E19" s="5"/>
      <c r="F19" s="5"/>
      <c r="G19" s="5"/>
    </row>
    <row r="21" customFormat="false" ht="15" hidden="false" customHeight="false" outlineLevel="0" collapsed="false">
      <c r="B21" s="6" t="s">
        <v>20</v>
      </c>
    </row>
    <row r="22" customFormat="false" ht="15" hidden="false" customHeight="true" outlineLevel="0" collapsed="false">
      <c r="B22" s="7" t="s">
        <v>21</v>
      </c>
      <c r="C22" s="4" t="s">
        <v>22</v>
      </c>
      <c r="D22" s="4"/>
      <c r="E22" s="4"/>
      <c r="F22" s="4"/>
      <c r="G22" s="4"/>
    </row>
    <row r="23" customFormat="false" ht="30" hidden="false" customHeight="true" outlineLevel="0" collapsed="false">
      <c r="B23" s="7" t="s">
        <v>23</v>
      </c>
      <c r="C23" s="4" t="s">
        <v>24</v>
      </c>
      <c r="D23" s="4"/>
      <c r="E23" s="4"/>
      <c r="F23" s="4"/>
      <c r="G23" s="4"/>
    </row>
    <row r="24" customFormat="false" ht="15" hidden="false" customHeight="true" outlineLevel="0" collapsed="false">
      <c r="B24" s="7" t="s">
        <v>25</v>
      </c>
      <c r="C24" s="4" t="s">
        <v>26</v>
      </c>
      <c r="D24" s="4"/>
      <c r="E24" s="4"/>
      <c r="F24" s="4"/>
      <c r="G24" s="4"/>
    </row>
    <row r="25" customFormat="false" ht="15" hidden="false" customHeight="true" outlineLevel="0" collapsed="false">
      <c r="B25" s="7" t="s">
        <v>27</v>
      </c>
      <c r="C25" s="4" t="s">
        <v>28</v>
      </c>
      <c r="D25" s="4"/>
      <c r="E25" s="4"/>
      <c r="F25" s="4"/>
      <c r="G25" s="4"/>
    </row>
    <row r="26" customFormat="false" ht="15" hidden="false" customHeight="true" outlineLevel="0" collapsed="false">
      <c r="B26" s="7" t="s">
        <v>29</v>
      </c>
      <c r="C26" s="4" t="s">
        <v>30</v>
      </c>
      <c r="D26" s="4"/>
      <c r="E26" s="4"/>
      <c r="F26" s="4"/>
      <c r="G26" s="4"/>
    </row>
    <row r="28" customFormat="false" ht="15" hidden="false" customHeight="true" outlineLevel="0" collapsed="false">
      <c r="B28" s="8" t="s">
        <v>31</v>
      </c>
      <c r="C28" s="8"/>
      <c r="D28" s="8"/>
      <c r="E28" s="8"/>
      <c r="F28" s="8"/>
      <c r="G28" s="8"/>
    </row>
    <row r="29" customFormat="false" ht="15" hidden="false" customHeight="false" outlineLevel="0" collapsed="false"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B32" s="8"/>
      <c r="C32" s="8"/>
      <c r="D32" s="8"/>
      <c r="E32" s="8"/>
      <c r="F32" s="8"/>
      <c r="G32" s="8"/>
    </row>
  </sheetData>
  <mergeCells count="15"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5:G25"/>
    <mergeCell ref="C26:G26"/>
    <mergeCell ref="B28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9" t="s">
        <v>32</v>
      </c>
    </row>
    <row r="3" customFormat="false" ht="42" hidden="false" customHeight="true" outlineLevel="0" collapsed="false">
      <c r="A3" s="10" t="s">
        <v>33</v>
      </c>
      <c r="B3" s="10" t="s">
        <v>34</v>
      </c>
      <c r="C3" s="10" t="s">
        <v>35</v>
      </c>
      <c r="D3" s="10" t="s">
        <v>36</v>
      </c>
    </row>
    <row r="4" customFormat="false" ht="15" hidden="false" customHeight="false" outlineLevel="0" collapsed="false">
      <c r="A4" s="11" t="s">
        <v>37</v>
      </c>
      <c r="B4" s="12" t="n">
        <v>17032529.82</v>
      </c>
      <c r="C4" s="12" t="n">
        <v>17032529.82</v>
      </c>
      <c r="D4" s="11" t="s">
        <v>38</v>
      </c>
    </row>
    <row r="5" customFormat="false" ht="15" hidden="false" customHeight="false" outlineLevel="0" collapsed="false">
      <c r="A5" s="11" t="s">
        <v>39</v>
      </c>
      <c r="B5" s="13" t="n">
        <v>230</v>
      </c>
      <c r="C5" s="13" t="n">
        <v>230</v>
      </c>
      <c r="D5" s="11" t="s">
        <v>40</v>
      </c>
    </row>
    <row r="6" customFormat="false" ht="15" hidden="false" customHeight="false" outlineLevel="0" collapsed="false">
      <c r="A6" s="11" t="s">
        <v>41</v>
      </c>
      <c r="B6" s="13" t="n">
        <v>4</v>
      </c>
      <c r="C6" s="13" t="n">
        <v>4</v>
      </c>
      <c r="D6" s="11" t="s">
        <v>40</v>
      </c>
    </row>
    <row r="7" customFormat="false" ht="15" hidden="false" customHeight="false" outlineLevel="0" collapsed="false">
      <c r="A7" s="11" t="s">
        <v>42</v>
      </c>
      <c r="B7" s="12" t="n">
        <v>11616</v>
      </c>
      <c r="C7" s="12" t="n">
        <v>11616</v>
      </c>
      <c r="D7" s="11" t="s">
        <v>43</v>
      </c>
    </row>
    <row r="8" customFormat="false" ht="15" hidden="false" customHeight="false" outlineLevel="0" collapsed="false">
      <c r="A8" s="11" t="s">
        <v>44</v>
      </c>
      <c r="B8" s="13" t="n">
        <v>534.64</v>
      </c>
      <c r="C8" s="13" t="n">
        <v>534.64</v>
      </c>
      <c r="D8" s="11" t="s">
        <v>45</v>
      </c>
    </row>
    <row r="9" customFormat="false" ht="15" hidden="false" customHeight="false" outlineLevel="0" collapsed="false">
      <c r="A9" s="11" t="s">
        <v>46</v>
      </c>
      <c r="B9" s="13" t="n">
        <v>137.06</v>
      </c>
      <c r="C9" s="13" t="n">
        <v>137.06</v>
      </c>
      <c r="D9" s="11" t="s">
        <v>45</v>
      </c>
    </row>
    <row r="10" customFormat="false" ht="15" hidden="false" customHeight="false" outlineLevel="0" collapsed="false">
      <c r="A10" s="11" t="s">
        <v>47</v>
      </c>
      <c r="B10" s="13" t="n">
        <v>69.51</v>
      </c>
      <c r="C10" s="13" t="n">
        <v>69.51</v>
      </c>
      <c r="D10" s="11" t="s">
        <v>45</v>
      </c>
    </row>
    <row r="11" customFormat="false" ht="15" hidden="false" customHeight="false" outlineLevel="0" collapsed="false">
      <c r="A11" s="11" t="s">
        <v>48</v>
      </c>
      <c r="B11" s="13" t="n">
        <v>804.27</v>
      </c>
      <c r="C11" s="13" t="n">
        <v>804.27</v>
      </c>
      <c r="D11" s="11" t="s">
        <v>45</v>
      </c>
    </row>
    <row r="12" customFormat="false" ht="15" hidden="false" customHeight="false" outlineLevel="0" collapsed="false">
      <c r="A12" s="11" t="s">
        <v>49</v>
      </c>
      <c r="B12" s="13" t="n">
        <v>51.07</v>
      </c>
      <c r="C12" s="13" t="n">
        <v>51.07</v>
      </c>
      <c r="D12" s="11" t="s">
        <v>45</v>
      </c>
    </row>
    <row r="13" customFormat="false" ht="15" hidden="false" customHeight="false" outlineLevel="0" collapsed="false">
      <c r="A13" s="11" t="s">
        <v>50</v>
      </c>
      <c r="B13" s="14" t="n">
        <v>0.075</v>
      </c>
      <c r="C13" s="14" t="n">
        <v>0.075</v>
      </c>
      <c r="D13" s="11" t="s">
        <v>51</v>
      </c>
    </row>
    <row r="14" customFormat="false" ht="15" hidden="false" customHeight="false" outlineLevel="0" collapsed="false">
      <c r="A14" s="11" t="s">
        <v>52</v>
      </c>
      <c r="B14" s="12" t="n">
        <v>518202.25</v>
      </c>
      <c r="C14" s="12" t="n">
        <v>479389.1</v>
      </c>
      <c r="D14" s="11" t="s">
        <v>53</v>
      </c>
    </row>
    <row r="15" customFormat="false" ht="15" hidden="false" customHeight="false" outlineLevel="0" collapsed="false">
      <c r="A15" s="11" t="s">
        <v>54</v>
      </c>
      <c r="B15" s="12" t="n">
        <v>506520.27</v>
      </c>
      <c r="C15" s="12" t="n">
        <v>387520.76</v>
      </c>
      <c r="D15" s="11" t="s">
        <v>53</v>
      </c>
    </row>
    <row r="16" customFormat="false" ht="15" hidden="false" customHeight="false" outlineLevel="0" collapsed="false">
      <c r="A16" s="11" t="s">
        <v>55</v>
      </c>
      <c r="B16" s="12" t="n">
        <v>140206.63</v>
      </c>
      <c r="C16" s="12" t="n">
        <v>118614.07</v>
      </c>
      <c r="D16" s="11" t="s">
        <v>53</v>
      </c>
    </row>
    <row r="17" customFormat="false" ht="15" hidden="false" customHeight="false" outlineLevel="0" collapsed="false">
      <c r="A17" s="11" t="s">
        <v>56</v>
      </c>
      <c r="B17" s="12" t="n">
        <v>51236.13</v>
      </c>
      <c r="C17" s="12" t="n">
        <v>43345.49</v>
      </c>
      <c r="D17" s="11" t="s">
        <v>53</v>
      </c>
    </row>
    <row r="18" customFormat="false" ht="15" hidden="false" customHeight="false" outlineLevel="0" collapsed="false">
      <c r="A18" s="11" t="s">
        <v>57</v>
      </c>
      <c r="B18" s="12" t="n">
        <v>38939.46</v>
      </c>
      <c r="C18" s="12" t="n">
        <v>32942.57</v>
      </c>
      <c r="D18" s="11" t="s">
        <v>53</v>
      </c>
    </row>
    <row r="19" customFormat="false" ht="15" hidden="false" customHeight="false" outlineLevel="0" collapsed="false">
      <c r="A19" s="11" t="s">
        <v>58</v>
      </c>
      <c r="B19" s="12" t="n">
        <v>106700</v>
      </c>
      <c r="C19" s="12" t="n">
        <v>42900</v>
      </c>
      <c r="D19" s="11" t="s">
        <v>53</v>
      </c>
    </row>
    <row r="20" customFormat="false" ht="15" hidden="false" customHeight="false" outlineLevel="0" collapsed="false">
      <c r="A20" s="11" t="s">
        <v>59</v>
      </c>
      <c r="B20" s="12" t="n">
        <v>90704</v>
      </c>
      <c r="C20" s="12" t="n">
        <v>90704</v>
      </c>
      <c r="D20" s="11" t="s">
        <v>60</v>
      </c>
    </row>
    <row r="21" customFormat="false" ht="15" hidden="false" customHeight="false" outlineLevel="0" collapsed="false">
      <c r="A21" s="11" t="s">
        <v>61</v>
      </c>
      <c r="B21" s="12" t="n">
        <v>892292</v>
      </c>
      <c r="C21" s="12" t="n">
        <v>699001</v>
      </c>
      <c r="D21" s="11" t="s">
        <v>53</v>
      </c>
    </row>
    <row r="22" customFormat="false" ht="15" hidden="false" customHeight="false" outlineLevel="0" collapsed="false">
      <c r="A22" s="11" t="s">
        <v>62</v>
      </c>
      <c r="B22" s="12" t="n">
        <v>1255108</v>
      </c>
      <c r="C22" s="12" t="n">
        <v>1061817</v>
      </c>
      <c r="D22" s="11" t="s">
        <v>53</v>
      </c>
    </row>
    <row r="23" customFormat="false" ht="15" hidden="false" customHeight="false" outlineLevel="0" collapsed="false">
      <c r="A23" s="11" t="s">
        <v>63</v>
      </c>
      <c r="B23" s="13" t="n">
        <v>85.01</v>
      </c>
      <c r="C23" s="13" t="n">
        <v>76.17</v>
      </c>
      <c r="D23" s="11" t="s">
        <v>64</v>
      </c>
    </row>
    <row r="25" customFormat="false" ht="42" hidden="false" customHeight="true" outlineLevel="0" collapsed="false">
      <c r="A25" s="10" t="s">
        <v>65</v>
      </c>
      <c r="B25" s="10" t="s">
        <v>66</v>
      </c>
      <c r="C25" s="10" t="s">
        <v>67</v>
      </c>
      <c r="D25" s="10" t="s">
        <v>68</v>
      </c>
      <c r="E25" s="10" t="s">
        <v>69</v>
      </c>
    </row>
    <row r="26" customFormat="false" ht="15" hidden="false" customHeight="false" outlineLevel="0" collapsed="false">
      <c r="A26" s="11" t="s">
        <v>70</v>
      </c>
      <c r="B26" s="15" t="n">
        <v>14.94</v>
      </c>
      <c r="C26" s="15" t="n">
        <v>25.09</v>
      </c>
      <c r="D26" s="15" t="n">
        <v>56.25</v>
      </c>
      <c r="E26" s="15" t="n">
        <v>6.48</v>
      </c>
    </row>
    <row r="27" customFormat="false" ht="15" hidden="false" customHeight="false" outlineLevel="0" collapsed="false">
      <c r="A27" s="11" t="s">
        <v>71</v>
      </c>
      <c r="B27" s="15" t="n">
        <v>20.09</v>
      </c>
      <c r="C27" s="15" t="n">
        <v>11.83</v>
      </c>
      <c r="D27" s="15" t="n">
        <v>33.13</v>
      </c>
      <c r="E27" s="15" t="n">
        <v>4.8</v>
      </c>
    </row>
    <row r="28" customFormat="false" ht="15" hidden="false" customHeight="false" outlineLevel="0" collapsed="false">
      <c r="A28" s="11" t="s">
        <v>72</v>
      </c>
      <c r="B28" s="15" t="n">
        <v>38.77</v>
      </c>
      <c r="C28" s="15" t="n">
        <v>28.04</v>
      </c>
      <c r="D28" s="15" t="n">
        <v>23.57</v>
      </c>
      <c r="E28" s="15" t="n">
        <v>3.26</v>
      </c>
    </row>
    <row r="29" customFormat="false" ht="15" hidden="false" customHeight="false" outlineLevel="0" collapsed="false">
      <c r="A29" s="11" t="s">
        <v>73</v>
      </c>
      <c r="B29" s="15" t="n">
        <v>11</v>
      </c>
      <c r="C29" s="15" t="n">
        <v>11</v>
      </c>
      <c r="D29" s="15" t="n">
        <v>23.57</v>
      </c>
      <c r="E29" s="15" t="n">
        <v>3.26</v>
      </c>
    </row>
    <row r="30" customFormat="false" ht="15" hidden="false" customHeight="false" outlineLevel="0" collapsed="false">
      <c r="A30" s="11" t="s">
        <v>74</v>
      </c>
      <c r="B30" s="15" t="n">
        <v>0.21</v>
      </c>
      <c r="C30" s="15" t="n">
        <v>0.21</v>
      </c>
      <c r="D30" s="15" t="n">
        <v>15</v>
      </c>
      <c r="E30" s="15" t="n">
        <v>2.07</v>
      </c>
    </row>
    <row r="32" customFormat="false" ht="25.5" hidden="false" customHeight="true" outlineLevel="0" collapsed="false">
      <c r="A32" s="8" t="s">
        <v>75</v>
      </c>
      <c r="B32" s="8"/>
      <c r="C32" s="8"/>
      <c r="D32" s="8"/>
      <c r="E32" s="8"/>
    </row>
  </sheetData>
  <mergeCells count="1"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4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9" t="s">
        <v>76</v>
      </c>
    </row>
    <row r="3" customFormat="false" ht="42" hidden="false" customHeight="true" outlineLevel="0" collapsed="false">
      <c r="A3" s="10" t="s">
        <v>77</v>
      </c>
      <c r="B3" s="10" t="s">
        <v>78</v>
      </c>
      <c r="C3" s="10" t="s">
        <v>36</v>
      </c>
      <c r="D3" s="10" t="s">
        <v>79</v>
      </c>
      <c r="E3" s="10" t="s">
        <v>80</v>
      </c>
    </row>
    <row r="4" customFormat="false" ht="15" hidden="false" customHeight="false" outlineLevel="0" collapsed="false">
      <c r="A4" s="16" t="s">
        <v>81</v>
      </c>
      <c r="B4" s="17" t="n">
        <f aca="false">Insumos!B4/Insumos!B5</f>
        <v>74054.4774782609</v>
      </c>
      <c r="C4" s="11" t="s">
        <v>60</v>
      </c>
      <c r="D4" s="18" t="s">
        <v>82</v>
      </c>
      <c r="E4" s="11" t="s">
        <v>83</v>
      </c>
    </row>
    <row r="5" customFormat="false" ht="15" hidden="false" customHeight="false" outlineLevel="0" collapsed="false">
      <c r="A5" s="16" t="s">
        <v>84</v>
      </c>
      <c r="B5" s="17" t="n">
        <f aca="false">SUM(Insumos!B8:B12)*(1+Insumos!B13)</f>
        <v>1716.29125</v>
      </c>
      <c r="C5" s="11" t="s">
        <v>45</v>
      </c>
      <c r="D5" s="18" t="s">
        <v>85</v>
      </c>
      <c r="E5" s="11" t="s">
        <v>83</v>
      </c>
    </row>
    <row r="6" customFormat="false" ht="15" hidden="false" customHeight="false" outlineLevel="0" collapsed="false">
      <c r="A6" s="16" t="s">
        <v>86</v>
      </c>
      <c r="B6" s="19" t="n">
        <f aca="false">(Insumos!B16+Insumos!B17+Insumos!B18)/(Insumos!B14+Insumos!B15)</f>
        <v>0.224824004063071</v>
      </c>
      <c r="C6" s="11" t="s">
        <v>51</v>
      </c>
      <c r="D6" s="18" t="s">
        <v>87</v>
      </c>
      <c r="E6" s="11" t="s">
        <v>83</v>
      </c>
    </row>
    <row r="7" customFormat="false" ht="15" hidden="false" customHeight="false" outlineLevel="0" collapsed="false">
      <c r="A7" s="16" t="s">
        <v>88</v>
      </c>
      <c r="B7" s="17" t="n">
        <f aca="false">B4*(1+B6)</f>
        <v>90703.701623722</v>
      </c>
      <c r="C7" s="11" t="s">
        <v>60</v>
      </c>
      <c r="D7" s="18" t="s">
        <v>89</v>
      </c>
      <c r="E7" s="11" t="s">
        <v>83</v>
      </c>
    </row>
    <row r="8" customFormat="false" ht="15" hidden="false" customHeight="false" outlineLevel="0" collapsed="false">
      <c r="A8" s="11" t="s">
        <v>90</v>
      </c>
      <c r="B8" s="20" t="n">
        <f aca="false">Insumos!B20</f>
        <v>90704</v>
      </c>
      <c r="C8" s="11" t="s">
        <v>60</v>
      </c>
      <c r="D8" s="18" t="s">
        <v>91</v>
      </c>
      <c r="E8" s="11" t="s">
        <v>92</v>
      </c>
    </row>
    <row r="9" customFormat="false" ht="15" hidden="false" customHeight="false" outlineLevel="0" collapsed="false">
      <c r="A9" s="11" t="s">
        <v>93</v>
      </c>
      <c r="B9" s="21" t="n">
        <f aca="false">B7/B8-1</f>
        <v>-3.28956030648531E-006</v>
      </c>
      <c r="C9" s="11" t="s">
        <v>51</v>
      </c>
      <c r="D9" s="18" t="s">
        <v>94</v>
      </c>
      <c r="E9" s="11" t="s">
        <v>83</v>
      </c>
    </row>
    <row r="12" customFormat="false" ht="16.15" hidden="false" customHeight="false" outlineLevel="0" collapsed="false">
      <c r="A12" s="9" t="s">
        <v>95</v>
      </c>
    </row>
    <row r="13" customFormat="false" ht="42" hidden="false" customHeight="true" outlineLevel="0" collapsed="false">
      <c r="A13" s="10" t="s">
        <v>65</v>
      </c>
      <c r="B13" s="10" t="s">
        <v>96</v>
      </c>
      <c r="C13" s="10" t="s">
        <v>36</v>
      </c>
      <c r="D13" s="10" t="s">
        <v>79</v>
      </c>
      <c r="E13" s="10" t="s">
        <v>80</v>
      </c>
    </row>
    <row r="14" customFormat="false" ht="15" hidden="false" customHeight="false" outlineLevel="0" collapsed="false">
      <c r="A14" s="11" t="s">
        <v>70</v>
      </c>
      <c r="B14" s="17" t="n">
        <f aca="false">Insumos!B7/Insumos!E26</f>
        <v>1792.59259259259</v>
      </c>
      <c r="C14" s="11" t="s">
        <v>45</v>
      </c>
      <c r="D14" s="11" t="s">
        <v>97</v>
      </c>
      <c r="E14" s="11" t="s">
        <v>83</v>
      </c>
    </row>
    <row r="15" customFormat="false" ht="15" hidden="false" customHeight="false" outlineLevel="0" collapsed="false">
      <c r="A15" s="11" t="s">
        <v>71</v>
      </c>
      <c r="B15" s="17" t="n">
        <f aca="false">Insumos!B7/Insumos!E27</f>
        <v>2420</v>
      </c>
      <c r="C15" s="11" t="s">
        <v>45</v>
      </c>
      <c r="D15" s="11" t="s">
        <v>97</v>
      </c>
      <c r="E15" s="11" t="s">
        <v>83</v>
      </c>
    </row>
    <row r="16" customFormat="false" ht="15" hidden="false" customHeight="false" outlineLevel="0" collapsed="false">
      <c r="A16" s="11" t="s">
        <v>72</v>
      </c>
      <c r="B16" s="17" t="n">
        <f aca="false">Insumos!B7/Insumos!E28</f>
        <v>3563.19018404908</v>
      </c>
      <c r="C16" s="11" t="s">
        <v>45</v>
      </c>
      <c r="D16" s="11" t="s">
        <v>97</v>
      </c>
      <c r="E16" s="11" t="s">
        <v>83</v>
      </c>
    </row>
    <row r="17" customFormat="false" ht="15" hidden="false" customHeight="false" outlineLevel="0" collapsed="false">
      <c r="A17" s="11" t="s">
        <v>73</v>
      </c>
      <c r="B17" s="17" t="n">
        <f aca="false">Insumos!B7/Insumos!E29</f>
        <v>3563.19018404908</v>
      </c>
      <c r="C17" s="11" t="s">
        <v>45</v>
      </c>
      <c r="D17" s="11" t="s">
        <v>97</v>
      </c>
      <c r="E17" s="11" t="s">
        <v>83</v>
      </c>
    </row>
    <row r="18" customFormat="false" ht="15" hidden="false" customHeight="false" outlineLevel="0" collapsed="false">
      <c r="A18" s="11" t="s">
        <v>74</v>
      </c>
      <c r="B18" s="17" t="n">
        <f aca="false">Insumos!B7/Insumos!E30</f>
        <v>5611.59420289855</v>
      </c>
      <c r="C18" s="11" t="s">
        <v>45</v>
      </c>
      <c r="D18" s="11" t="s">
        <v>97</v>
      </c>
      <c r="E18" s="11" t="s">
        <v>83</v>
      </c>
    </row>
    <row r="20" customFormat="false" ht="16.15" hidden="false" customHeight="false" outlineLevel="0" collapsed="false">
      <c r="A20" s="9" t="s">
        <v>98</v>
      </c>
    </row>
    <row r="21" customFormat="false" ht="42" hidden="false" customHeight="true" outlineLevel="0" collapsed="false">
      <c r="A21" s="10" t="s">
        <v>99</v>
      </c>
      <c r="B21" s="10" t="s">
        <v>100</v>
      </c>
      <c r="C21" s="10"/>
      <c r="D21" s="10" t="s">
        <v>101</v>
      </c>
      <c r="E21" s="10" t="s">
        <v>80</v>
      </c>
    </row>
    <row r="22" customFormat="false" ht="15" hidden="false" customHeight="false" outlineLevel="0" collapsed="false">
      <c r="A22" s="11" t="s">
        <v>55</v>
      </c>
      <c r="B22" s="21" t="n">
        <f aca="false">Insumos!B16/(Insumos!B14+Insumos!B15)</f>
        <v>0.136823996021869</v>
      </c>
      <c r="D22" s="11" t="s">
        <v>102</v>
      </c>
      <c r="E22" s="11" t="s">
        <v>83</v>
      </c>
    </row>
    <row r="23" customFormat="false" ht="15" hidden="false" customHeight="false" outlineLevel="0" collapsed="false">
      <c r="A23" s="11" t="s">
        <v>56</v>
      </c>
      <c r="B23" s="21" t="n">
        <f aca="false">Insumos!B17/(Insumos!B14+Insumos!B15)</f>
        <v>0.0500000039034957</v>
      </c>
      <c r="D23" s="11" t="s">
        <v>103</v>
      </c>
      <c r="E23" s="11" t="s">
        <v>83</v>
      </c>
    </row>
    <row r="24" customFormat="false" ht="15" hidden="false" customHeight="false" outlineLevel="0" collapsed="false">
      <c r="A24" s="11" t="s">
        <v>57</v>
      </c>
      <c r="B24" s="21" t="n">
        <f aca="false">Insumos!B18/(Insumos!B14+Insumos!B15)</f>
        <v>0.0380000041377055</v>
      </c>
      <c r="D24" s="11" t="s">
        <v>104</v>
      </c>
      <c r="E24" s="11" t="s">
        <v>83</v>
      </c>
    </row>
    <row r="26" customFormat="false" ht="51.75" hidden="false" customHeight="true" outlineLevel="0" collapsed="false">
      <c r="A26" s="8" t="s">
        <v>105</v>
      </c>
      <c r="B26" s="8"/>
      <c r="C26" s="8"/>
      <c r="D26" s="8"/>
      <c r="E26" s="8"/>
    </row>
  </sheetData>
  <mergeCells count="1"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9" t="s">
        <v>106</v>
      </c>
    </row>
    <row r="3" customFormat="false" ht="42" hidden="false" customHeight="true" outlineLevel="0" collapsed="false">
      <c r="A3" s="10" t="s">
        <v>107</v>
      </c>
      <c r="B3" s="10" t="s">
        <v>34</v>
      </c>
      <c r="C3" s="10" t="s">
        <v>35</v>
      </c>
      <c r="D3" s="10" t="s">
        <v>79</v>
      </c>
    </row>
    <row r="4" customFormat="false" ht="15" hidden="false" customHeight="false" outlineLevel="0" collapsed="false">
      <c r="A4" s="11" t="s">
        <v>108</v>
      </c>
      <c r="B4" s="22" t="n">
        <f aca="false">Insumos!B26/Insumos!D26+Insumos!B27/Insumos!D27+Insumos!B28/Insumos!D28+Insumos!B29/Insumos!D29+Insumos!B30/Insumos!D30</f>
        <v>2.9975815542608</v>
      </c>
      <c r="C4" s="22" t="n">
        <f aca="false">Insumos!C26/Insumos!D26+Insumos!C27/Insumos!D27+Insumos!C28/Insumos!D28+Insumos!C29/Insumos!D29+Insumos!C30/Insumos!D30</f>
        <v>2.47346542997848</v>
      </c>
      <c r="D4" s="18" t="s">
        <v>109</v>
      </c>
    </row>
    <row r="5" customFormat="false" ht="15" hidden="false" customHeight="false" outlineLevel="0" collapsed="false">
      <c r="A5" s="11" t="s">
        <v>110</v>
      </c>
      <c r="B5" s="23" t="n">
        <f aca="false">Insumos!B26*Unitarios!B14+Insumos!B27*Unitarios!B15+Insumos!B28*Unitarios!B16+Insumos!B29*Unitarios!B17+Insumos!B30*Unitarios!B18</f>
        <v>253917.543576065</v>
      </c>
      <c r="C5" s="23" t="n">
        <f aca="false">Insumos!C26*Unitarios!B14+Insumos!C27*Unitarios!B15+Insumos!C28*Unitarios!B16+Insumos!C29*Unitarios!B17+Insumos!C30*Unitarios!B18</f>
        <v>213890.127716033</v>
      </c>
      <c r="D5" s="18" t="s">
        <v>111</v>
      </c>
    </row>
    <row r="6" customFormat="false" ht="15" hidden="false" customHeight="false" outlineLevel="0" collapsed="false">
      <c r="A6" s="11" t="s">
        <v>112</v>
      </c>
      <c r="B6" s="23" t="n">
        <f aca="false">Insumos!B23*Unitarios!B5</f>
        <v>145901.9191625</v>
      </c>
      <c r="C6" s="23" t="n">
        <f aca="false">Insumos!C23*Unitarios!B5</f>
        <v>130729.9045125</v>
      </c>
      <c r="D6" s="18" t="s">
        <v>113</v>
      </c>
    </row>
    <row r="7" customFormat="false" ht="15" hidden="false" customHeight="false" outlineLevel="0" collapsed="false">
      <c r="A7" s="11" t="s">
        <v>27</v>
      </c>
      <c r="B7" s="23" t="n">
        <f aca="false">Insumos!B19</f>
        <v>106700</v>
      </c>
      <c r="C7" s="23" t="n">
        <f aca="false">Insumos!C19</f>
        <v>42900</v>
      </c>
      <c r="D7" s="18" t="s">
        <v>114</v>
      </c>
    </row>
    <row r="8" customFormat="false" ht="15" hidden="false" customHeight="false" outlineLevel="0" collapsed="false">
      <c r="A8" s="11" t="s">
        <v>115</v>
      </c>
      <c r="B8" s="23" t="n">
        <f aca="false">(Unitarios!$B$4*B4+B5+B6+B7)*(1+Unitarios!$B$6)</f>
        <v>892288.939377768</v>
      </c>
      <c r="C8" s="23" t="n">
        <f aca="false">(Unitarios!$B$4*C4+C5+C6+C7)*(1+Unitarios!$B$6)</f>
        <v>698996.307866161</v>
      </c>
      <c r="D8" s="18" t="s">
        <v>116</v>
      </c>
    </row>
    <row r="9" customFormat="false" ht="15" hidden="false" customHeight="false" outlineLevel="0" collapsed="false">
      <c r="A9" s="11" t="s">
        <v>117</v>
      </c>
      <c r="B9" s="23" t="n">
        <f aca="false">Insumos!B21</f>
        <v>892292</v>
      </c>
      <c r="C9" s="23" t="n">
        <f aca="false">Insumos!C21</f>
        <v>699001</v>
      </c>
      <c r="D9" s="18" t="s">
        <v>118</v>
      </c>
    </row>
    <row r="10" customFormat="false" ht="15" hidden="false" customHeight="false" outlineLevel="0" collapsed="false">
      <c r="A10" s="16" t="s">
        <v>93</v>
      </c>
      <c r="B10" s="24" t="n">
        <f aca="false">B8/B9-1</f>
        <v>-3.43006799563561E-006</v>
      </c>
      <c r="C10" s="24" t="n">
        <f aca="false">C8/C9-1</f>
        <v>-6.71262822116159E-006</v>
      </c>
      <c r="D10" s="18"/>
    </row>
    <row r="11" customFormat="false" ht="15" hidden="false" customHeight="false" outlineLevel="0" collapsed="false">
      <c r="A11" s="11" t="s">
        <v>119</v>
      </c>
      <c r="B11" s="23" t="n">
        <f aca="false">(Unitarios!$B$4*(B4+Insumos!B6)+B5+B6+B7)*(1+Unitarios!$B$6)</f>
        <v>1255103.74587266</v>
      </c>
      <c r="C11" s="23" t="n">
        <f aca="false">(Unitarios!$B$4*(C4+Insumos!C6)+C5+C6+C7)*(1+Unitarios!$B$6)</f>
        <v>1061811.11436105</v>
      </c>
      <c r="D11" s="18" t="s">
        <v>120</v>
      </c>
    </row>
    <row r="12" customFormat="false" ht="15" hidden="false" customHeight="false" outlineLevel="0" collapsed="false">
      <c r="A12" s="11" t="s">
        <v>121</v>
      </c>
      <c r="B12" s="23" t="n">
        <f aca="false">Insumos!B22</f>
        <v>1255108</v>
      </c>
      <c r="C12" s="23" t="n">
        <f aca="false">Insumos!C22</f>
        <v>1061817</v>
      </c>
      <c r="D12" s="18" t="s">
        <v>118</v>
      </c>
    </row>
    <row r="13" customFormat="false" ht="15" hidden="false" customHeight="false" outlineLevel="0" collapsed="false">
      <c r="A13" s="16" t="s">
        <v>93</v>
      </c>
      <c r="B13" s="24" t="n">
        <f aca="false">B11/B12-1</f>
        <v>-3.38945122180245E-006</v>
      </c>
      <c r="C13" s="24" t="n">
        <f aca="false">C11/C12-1</f>
        <v>-5.54298805832687E-006</v>
      </c>
      <c r="D13" s="18"/>
    </row>
    <row r="15" customFormat="false" ht="25.5" hidden="false" customHeight="true" outlineLevel="0" collapsed="false">
      <c r="A15" s="8" t="s">
        <v>122</v>
      </c>
      <c r="B15" s="8"/>
      <c r="C15" s="8"/>
      <c r="D15" s="8"/>
    </row>
  </sheetData>
  <mergeCells count="1"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9" t="s">
        <v>123</v>
      </c>
    </row>
    <row r="3" customFormat="false" ht="42" hidden="false" customHeight="true" outlineLevel="0" collapsed="false">
      <c r="A3" s="10" t="s">
        <v>124</v>
      </c>
      <c r="B3" s="10" t="s">
        <v>125</v>
      </c>
      <c r="C3" s="10" t="s">
        <v>126</v>
      </c>
      <c r="D3" s="10" t="s">
        <v>80</v>
      </c>
    </row>
    <row r="4" customFormat="false" ht="15" hidden="false" customHeight="false" outlineLevel="0" collapsed="false">
      <c r="A4" s="11" t="s">
        <v>34</v>
      </c>
      <c r="B4" s="11" t="s">
        <v>127</v>
      </c>
      <c r="C4" s="25" t="n">
        <v>63800</v>
      </c>
      <c r="D4" s="11" t="s">
        <v>128</v>
      </c>
    </row>
    <row r="5" customFormat="false" ht="15" hidden="false" customHeight="false" outlineLevel="0" collapsed="false">
      <c r="A5" s="11" t="s">
        <v>34</v>
      </c>
      <c r="B5" s="11" t="s">
        <v>129</v>
      </c>
      <c r="C5" s="25" t="n">
        <v>42900</v>
      </c>
      <c r="D5" s="11" t="s">
        <v>128</v>
      </c>
    </row>
    <row r="6" customFormat="false" ht="15" hidden="false" customHeight="false" outlineLevel="0" collapsed="false">
      <c r="A6" s="11" t="s">
        <v>35</v>
      </c>
      <c r="B6" s="11" t="s">
        <v>130</v>
      </c>
      <c r="C6" s="25" t="n">
        <v>42900</v>
      </c>
      <c r="D6" s="11" t="s">
        <v>128</v>
      </c>
    </row>
    <row r="8" customFormat="false" ht="15" hidden="false" customHeight="true" outlineLevel="0" collapsed="false">
      <c r="A8" s="8" t="s">
        <v>131</v>
      </c>
      <c r="B8" s="8"/>
      <c r="C8" s="8"/>
      <c r="D8" s="8"/>
    </row>
  </sheetData>
  <mergeCells count="1"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  <col collapsed="false" customWidth="true" hidden="false" outlineLevel="0" max="3" min="3" style="0" width="46"/>
    <col collapsed="false" customWidth="true" hidden="false" outlineLevel="0" max="4" min="4" style="0" width="36"/>
  </cols>
  <sheetData>
    <row r="1" customFormat="false" ht="16.15" hidden="false" customHeight="false" outlineLevel="0" collapsed="false">
      <c r="A1" s="9" t="s">
        <v>132</v>
      </c>
    </row>
    <row r="3" customFormat="false" ht="42" hidden="false" customHeight="true" outlineLevel="0" collapsed="false">
      <c r="A3" s="10" t="s">
        <v>133</v>
      </c>
      <c r="B3" s="10" t="s">
        <v>134</v>
      </c>
      <c r="C3" s="10" t="s">
        <v>135</v>
      </c>
      <c r="D3" s="10" t="s">
        <v>136</v>
      </c>
    </row>
    <row r="4" customFormat="false" ht="43.5" hidden="false" customHeight="true" outlineLevel="0" collapsed="false">
      <c r="A4" s="16" t="s">
        <v>137</v>
      </c>
      <c r="B4" s="18" t="s">
        <v>138</v>
      </c>
      <c r="C4" s="18" t="s">
        <v>139</v>
      </c>
      <c r="D4" s="11" t="s">
        <v>140</v>
      </c>
    </row>
    <row r="5" customFormat="false" ht="43.5" hidden="false" customHeight="true" outlineLevel="0" collapsed="false">
      <c r="A5" s="16" t="s">
        <v>141</v>
      </c>
      <c r="B5" s="18" t="s">
        <v>138</v>
      </c>
      <c r="C5" s="18" t="s">
        <v>142</v>
      </c>
      <c r="D5" s="11" t="s">
        <v>143</v>
      </c>
    </row>
    <row r="6" customFormat="false" ht="43.5" hidden="false" customHeight="true" outlineLevel="0" collapsed="false">
      <c r="A6" s="16" t="s">
        <v>144</v>
      </c>
      <c r="B6" s="18" t="s">
        <v>145</v>
      </c>
      <c r="C6" s="18" t="s">
        <v>146</v>
      </c>
      <c r="D6" s="11" t="s">
        <v>147</v>
      </c>
    </row>
    <row r="7" customFormat="false" ht="43.5" hidden="false" customHeight="true" outlineLevel="0" collapsed="false">
      <c r="A7" s="16" t="s">
        <v>148</v>
      </c>
      <c r="B7" s="18" t="s">
        <v>149</v>
      </c>
      <c r="C7" s="18" t="s">
        <v>150</v>
      </c>
      <c r="D7" s="11" t="s">
        <v>151</v>
      </c>
    </row>
    <row r="8" customFormat="false" ht="43.5" hidden="false" customHeight="true" outlineLevel="0" collapsed="false">
      <c r="A8" s="16" t="s">
        <v>152</v>
      </c>
      <c r="B8" s="18" t="s">
        <v>153</v>
      </c>
      <c r="C8" s="18" t="s">
        <v>154</v>
      </c>
      <c r="D8" s="11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2026-09-29T21:15:11Z</dcterms:created>
  <dc:creator>openpyxl</dc:creator>
  <dc:description/>
  <dc:language>en-US</dc:language>
  <cp:lastModifiedBy/>
  <dcterms:modified xsi:type="dcterms:W3CDTF">2026-09-29T21:15:11Z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