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Tramos" sheetId="2" state="visible" r:id="rId4"/>
    <sheet name="Escenarios" sheetId="3" state="visible" r:id="rId5"/>
    <sheet name="Controles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<sst xmlns="http://schemas.openxmlformats.org/spreadsheetml/2006/main" count="186" uniqueCount="126">
  <si>
    <t xml:space="preserve">Registro de tiempos de ciclo del cruce por la Ruta 40</t>
  </si>
  <si>
    <t xml:space="preserve">Objetivo específico 6 · Actividad 1 — Tiempos actuales Ibagué–Calarcá para tractocamión 3S3</t>
  </si>
  <si>
    <t xml:space="preserve">Objetivo</t>
  </si>
  <si>
    <t xml:space="preserve">OE 6: Determinar la eficiencia logística del sistema intermodal Ferropista, calculando la reducción de tiempos de ciclo y de costos operativos frente a la operación actual por la Ruta 40.</t>
  </si>
  <si>
    <t xml:space="preserve">Actividad</t>
  </si>
  <si>
    <t xml:space="preserve">1. Levantamiento de los tiempos de ciclo actuales del cruce por la Ruta 40</t>
  </si>
  <si>
    <t xml:space="preserve">Entregable / formato</t>
  </si>
  <si>
    <t xml:space="preserve">Registro de tiempos · Documento Excel</t>
  </si>
  <si>
    <t xml:space="preserve">Periodo</t>
  </si>
  <si>
    <t xml:space="preserve">Bloque 2 del Plan de Acción (5 oct - 7 nov 2026)</t>
  </si>
  <si>
    <t xml:space="preserve">Responsable asignado</t>
  </si>
  <si>
    <t xml:space="preserve">Torrente Parra Daniel Ignacio</t>
  </si>
  <si>
    <t xml:space="preserve">Apoyo en la ejecución</t>
  </si>
  <si>
    <t xml:space="preserve">Tamayo Osorio Miguel Ángel, con apoyo de IA (Claude)</t>
  </si>
  <si>
    <t xml:space="preserve">Semillero</t>
  </si>
  <si>
    <t xml:space="preserve">Semillero de Investigación GEOPAV · Ingeniería Civil · Universidad de Ibagué · Paz y Región 2026B</t>
  </si>
  <si>
    <t xml:space="preserve">Fecha de elaboración</t>
  </si>
  <si>
    <t xml:space="preserve">29 sep 2026</t>
  </si>
  <si>
    <t xml:space="preserve">Advertencia</t>
  </si>
  <si>
    <t xml:space="preserve">El tiempo mínimo es el MODELO oficial del SICE-TAC (flujo libre), no una medición. El típico es la cifra del proponente, no auditada. No hay aforo propio de tiempos de viaje: los resultados son un rango.</t>
  </si>
  <si>
    <t xml:space="preserve">Índice de hojas (tabla de contenido)</t>
  </si>
  <si>
    <t xml:space="preserve">Tramos</t>
  </si>
  <si>
    <t xml:space="preserve">Tabla 1. Distancia, velocidad y horas por tipo de terreno según el SICE-TAC (dos sentidos)</t>
  </si>
  <si>
    <t xml:space="preserve">Escenarios</t>
  </si>
  <si>
    <t xml:space="preserve">Tabla 2. Tiempo de ciclo del cruce por sentido: mínimo, típico y máximo · Tabla 3. Ida y vuelta</t>
  </si>
  <si>
    <t xml:space="preserve">Controles</t>
  </si>
  <si>
    <t xml:space="preserve">Tabla 4. Controles externos y evento extremo (no entran al cálculo)</t>
  </si>
  <si>
    <t xml:space="preserve">Fuentes</t>
  </si>
  <si>
    <t xml:space="preserve">Tabla 5. Fuentes citadas y huella md5</t>
  </si>
  <si>
    <t xml:space="preserve">Índice de tablas: tablas 1 a 5 según el índice de hojas. Índice de figuras: no tiene. Índice de anexos: no tiene; las consultas SICE-TAC quedan en OE6_Logistica/Fuentes/. Script: OE6_Logistica/Act1_TiemposRuta40/registro_tiempos_ruta40_OE6.py. Convención: azul = entrada leída de una fuente; verde = valor leído de otro producto del OE 6; fondo amarillo = hipótesis [H]; negro = fórmula. Marcas: [F] fuente citada · [CP] cálculo propio reproducible · [H] hipótesis declarada · [DA] dato por consultar. Elaborado con apoyo de IA (Claude) y verificado contra las fuentes.</t>
  </si>
  <si>
    <t xml:space="preserve">Tabla 1. Distancia, velocidad promedio y horas de viaje por tipo de terreno (SICE-TAC, 3S3 cargado)</t>
  </si>
  <si>
    <t xml:space="preserve">Sentido</t>
  </si>
  <si>
    <t xml:space="preserve">Terreno</t>
  </si>
  <si>
    <t xml:space="preserve">Distancia (km)</t>
  </si>
  <si>
    <t xml:space="preserve">Velocidad promedio (km/h)</t>
  </si>
  <si>
    <t xml:space="preserve">Horas de viaje</t>
  </si>
  <si>
    <t xml:space="preserve">Marca</t>
  </si>
  <si>
    <t xml:space="preserve">Ibagué → Calarcá</t>
  </si>
  <si>
    <t xml:space="preserve">Plano</t>
  </si>
  <si>
    <t xml:space="preserve">[F] SICE-TAC · horas [CP]</t>
  </si>
  <si>
    <t xml:space="preserve">Ondulado</t>
  </si>
  <si>
    <t xml:space="preserve">Montaña</t>
  </si>
  <si>
    <t xml:space="preserve">Urbano</t>
  </si>
  <si>
    <t xml:space="preserve">Afirmado</t>
  </si>
  <si>
    <t xml:space="preserve">Total</t>
  </si>
  <si>
    <t xml:space="preserve">SICE-TAC publica 3,00 h (control)</t>
  </si>
  <si>
    <t xml:space="preserve">Calarcá → Ibagué</t>
  </si>
  <si>
    <t xml:space="preserve">SICE-TAC publica 2,47 h (control)</t>
  </si>
  <si>
    <t xml:space="preserve">Distancias del listado oficial «Distancias por tipo de terreno rutas SICE-TAC 01-09-2026» (idénticas a las de la consulta guardada). Los dos sentidos tienen distinta longitud (85,01 frente a 76,17 km): así lo registra el Ministerio y OpenStreetMap confirma la asimetría (Act 2). La columna D de la fila total es la velocidad media resultante.</t>
  </si>
  <si>
    <t xml:space="preserve">Tabla 2. Tiempo de ciclo del cruce cabecera–cabecera por sentido y escenario</t>
  </si>
  <si>
    <t xml:space="preserve">Escenario</t>
  </si>
  <si>
    <t xml:space="preserve">Horas</t>
  </si>
  <si>
    <t xml:space="preserve">Minutos</t>
  </si>
  <si>
    <t xml:space="preserve">Velocidad media (km/h)</t>
  </si>
  <si>
    <t xml:space="preserve">Cómo se obtiene</t>
  </si>
  <si>
    <t xml:space="preserve">Parámetros</t>
  </si>
  <si>
    <t xml:space="preserve">Mínimo</t>
  </si>
  <si>
    <t xml:space="preserve">Suma de horas por terreno del SICE-TAC (Tabla 1): flujo libre con velocidades oficiales</t>
  </si>
  <si>
    <t xml:space="preserve">[F→CP]</t>
  </si>
  <si>
    <t xml:space="preserve">Tiempo típico (h)</t>
  </si>
  <si>
    <t xml:space="preserve">Típico</t>
  </si>
  <si>
    <t xml:space="preserve">«Paso actual: 4 horas (valor medio)», fuente primaria</t>
  </si>
  <si>
    <t xml:space="preserve">[F, dia. 29]</t>
  </si>
  <si>
    <t xml:space="preserve">Espera máx. pare y siga (h)</t>
  </si>
  <si>
    <t xml:space="preserve">Máximo</t>
  </si>
  <si>
    <t xml:space="preserve">Típico + 1 h: alternancia horaria por sentido del pare y siga del INVÍAS (PR 47+380, desde 25 jul 2026)</t>
  </si>
  <si>
    <t xml:space="preserve">Tabla 3. Ciclo de ida y vuelta (Ibagué → Calarcá → Ibagué), sin cargue ni descargue</t>
  </si>
  <si>
    <t xml:space="preserve">Lectura: el modelo oficial (mínimo) supone flujo libre; los 4 h del proponente equivalen a una velocidad media de unos 20 km/h, coherente con su propia afirmación «&lt; 20 km/h» (dia. 13). El máximo representa la operación con un paso restringido como el de jul–sep 2026; el corredor ha tenido emergencias recurrentes, pero no hay estadística pública de frecuencia: por eso se trata como escenario y no como promedio.</t>
  </si>
  <si>
    <t xml:space="preserve">Tabla 4. Controles externos y evento extremo (se registran; no entran al cálculo)</t>
  </si>
  <si>
    <t xml:space="preserve">Quién</t>
  </si>
  <si>
    <t xml:space="preserve">Qué</t>
  </si>
  <si>
    <t xml:space="preserve">Valor</t>
  </si>
  <si>
    <t xml:space="preserve">Detalle</t>
  </si>
  <si>
    <t xml:space="preserve">Fuente</t>
  </si>
  <si>
    <t xml:space="preserve">Nota</t>
  </si>
  <si>
    <t xml:space="preserve">INVÍAS</t>
  </si>
  <si>
    <t xml:space="preserve">Ahorro del Cruce de la Cordillera Central, carga pesada, Calarcá–Cajamarca</t>
  </si>
  <si>
    <t xml:space="preserve">≈ 50 min</t>
  </si>
  <si>
    <t xml:space="preserve">Velocidad de 15 a 60 km/h</t>
  </si>
  <si>
    <t xml:space="preserve">INVIAS</t>
  </si>
  <si>
    <t xml:space="preserve">Declarado en la web del INVÍAS; no dice si es medido o esperado.</t>
  </si>
  <si>
    <t xml:space="preserve">CAF</t>
  </si>
  <si>
    <t xml:space="preserve">Ahorro del Túnel II Centenario, vehículos pesados</t>
  </si>
  <si>
    <t xml:space="preserve">80 min</t>
  </si>
  <si>
    <t xml:space="preserve">Velocidad de 18 a 60 km/h, tramo Cajamarca–Calarcá</t>
  </si>
  <si>
    <t xml:space="preserve">Impacto ESPERADO en la estructuración; la propia CAF anota que no se documentó línea base (pág. 8).</t>
  </si>
  <si>
    <t xml:space="preserve">Ponencia</t>
  </si>
  <si>
    <t xml:space="preserve">Velocidad media actual del tramo Ibagué–Armenia</t>
  </si>
  <si>
    <t xml:space="preserve">&lt; 20 km/h</t>
  </si>
  <si>
    <t xml:space="preserve">«Servicio irregular»</t>
  </si>
  <si>
    <t xml:space="preserve">PON</t>
  </si>
  <si>
    <t xml:space="preserve">[F, dia. 13]</t>
  </si>
  <si>
    <t xml:space="preserve">Prensa</t>
  </si>
  <si>
    <t xml:space="preserve">Evento extremo: trancones en Calle Larga (Cajamarca)</t>
  </si>
  <si>
    <t xml:space="preserve">8 a 10 h</t>
  </si>
  <si>
    <t xml:space="preserve">Una o dos veces por semana, jul–sep 2026</t>
  </si>
  <si>
    <t xml:space="preserve">PRENSA_8H</t>
  </si>
  <si>
    <t xml:space="preserve">Declaración del alcalde de Cajamarca; reapertura de ambos carriles prevista el 30 sep 2026. No entra al promedio.</t>
  </si>
  <si>
    <t xml:space="preserve">INVÍAS y CAF no coinciden (50 frente a 80 min) y CAF aclara que su cifra es un impacto esperado sin línea base. Ninguna de las dos mide el cruce completo Ibagué–Calarcá: solo el tramo del túnel. Por eso se usan como control de orden de magnitud.</t>
  </si>
  <si>
    <t xml:space="preserve">Tabla 5. Fuentes citadas y huella md5 de los archivos usados</t>
  </si>
  <si>
    <t xml:space="preserve">Clave</t>
  </si>
  <si>
    <t xml:space="preserve">Referencia</t>
  </si>
  <si>
    <t xml:space="preserve">Archivo local</t>
  </si>
  <si>
    <t xml:space="preserve">md5</t>
  </si>
  <si>
    <t xml:space="preserve">Fernández Ordóñez, H. O. (2025). Túnel para cruce férreo de la Cordillera Central de los Andes y semilla para la Estrella Andina. XX Seminario Andino de Túneles y Obras Subterráneas, SAI, Medellín, 8 oct 2025. Fuente primaria del proyecto.</t>
  </si>
  <si>
    <t xml:space="preserve">Túnel para cruce férreo cordillera Central -SAI- 08octubre2025.pdf</t>
  </si>
  <si>
    <t xml:space="preserve">2e7d264eb6d98f368dc9a6bd5bf5bd6d</t>
  </si>
  <si>
    <t xml:space="preserve">SICETAC_IBG_CAL</t>
  </si>
  <si>
    <t xml:space="preserve">Ministerio de Transporte. SICE-TAC, consulta pública (plc.mintransporte.gov.co), periodo de referencia 20260901: tractocamión 3S3, portacontenedores, contenedor cargado, cargado, 2 h de cargue y 2 h de descargue. Rutas 14037 (Ibagué–Calarcá) y 15393 (Calarcá–Ibagué). Consultado y guardado en PDF el 29 sep 2026.</t>
  </si>
  <si>
    <t xml:space="preserve">OE6_Logistica/Fuentes/sicetac_IBG_CAL_3S3.pdf</t>
  </si>
  <si>
    <t xml:space="preserve">c991f42266763925dbb7f1ff4d959ed5</t>
  </si>
  <si>
    <t xml:space="preserve">SICETAC_CAL_IBG</t>
  </si>
  <si>
    <t xml:space="preserve">OE6_Logistica/Fuentes/sicetac_CAL_IBG_3S3.pdf</t>
  </si>
  <si>
    <t xml:space="preserve">d5db8d1a5738d305169b755f79936152</t>
  </si>
  <si>
    <t xml:space="preserve">SICETAC_DIST</t>
  </si>
  <si>
    <t xml:space="preserve">Ministerio de Transporte, Oficina de Regulación Económica. Distancias por tipo de terreno, rutas SICE-TAC, corte 01-09-2026 (xlsx).</t>
  </si>
  <si>
    <t xml:space="preserve">OE6_Logistica/Fuentes/DISTANCIAS_TIPO_DE_TERRENO_RUTAS_SICETAC-2026-09-01.xlsx</t>
  </si>
  <si>
    <t xml:space="preserve">0da631933a44d12069e59806877b8982</t>
  </si>
  <si>
    <t xml:space="preserve">CAF (2024). Evaluación ex post: Proyecto Cruce de la Cordillera Central – Túnel II Centenario (Colombia), pág. 8 (impactos esperados).</t>
  </si>
  <si>
    <t xml:space="preserve">OE6_Logistica/Fuentes/caf_expost_linea_2024.pdf</t>
  </si>
  <si>
    <t xml:space="preserve">e37299dc391fa062e9b2e7d508630d62</t>
  </si>
  <si>
    <t xml:space="preserve">INVÍAS. Cruce de la Cordillera Central – preguntas frecuentes. https://crucecordilleracentral.invias.gov.co/faqs.php (consultado 29 sep 2026).</t>
  </si>
  <si>
    <t xml:space="preserve">—</t>
  </si>
  <si>
    <t xml:space="preserve">INVIAS_PMT</t>
  </si>
  <si>
    <t xml:space="preserve">Infobae (4 ago 2026), con declaraciones del INVÍAS: emergencia del PR 47+0380 a 47+0480 (Calle Larga, Cajamarca) desde el 25 jul 2026; paso a un carril con «pare y siga» y alternancia de una hora por sentido.</t>
  </si>
  <si>
    <t xml:space="preserve">Semana (2 sep 2026): el alcalde de Cajamarca reporta trancones de 8 a 10 horas una o dos veces por semana; reapertura de ambos carriles prevista el 30 sep 2026.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</si>
</sst>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8E2C"/>
      <name val="Calibri"/>
      <family val="0"/>
      <charset val="1"/>
    </font>
    <font>
      <sz val="12"/>
      <color rgb="FF193F77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2"/>
      <color rgb="FF193F77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3"/>
      <color rgb="FF193F7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93F77"/>
        <bgColor rgb="FF333399"/>
      </patternFill>
    </fill>
    <fill>
      <patternFill patternType="solid">
        <fgColor rgb="FFE8F3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8E2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3EA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93F77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794160</xdr:colOff>
      <xdr:row>4</xdr:row>
      <xdr:rowOff>94680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90440"/>
          <a:ext cx="248580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666360</xdr:colOff>
      <xdr:row>4</xdr:row>
      <xdr:rowOff>94680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55240" y="190440"/>
          <a:ext cx="66636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8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3"/>
  </cols>
  <sheetData>
    <row r="8" customFormat="false" ht="22.05" hidden="false" customHeight="false" outlineLevel="0" collapsed="false">
      <c r="B8" s="1" t="s">
        <v>0</v>
      </c>
    </row>
    <row r="9" customFormat="false" ht="15" hidden="false" customHeight="false" outlineLevel="0" collapsed="false">
      <c r="B9" s="2" t="s">
        <v>1</v>
      </c>
    </row>
    <row r="11" customFormat="false" ht="57.75" hidden="false" customHeight="true" outlineLevel="0" collapsed="false">
      <c r="B11" s="3" t="s">
        <v>2</v>
      </c>
      <c r="C11" s="4" t="s">
        <v>3</v>
      </c>
      <c r="D11" s="4"/>
      <c r="E11" s="4"/>
      <c r="F11" s="4"/>
      <c r="G11" s="4"/>
    </row>
    <row r="12" customFormat="false" ht="30" hidden="false" customHeight="true" outlineLevel="0" collapsed="false">
      <c r="B12" s="3" t="s">
        <v>4</v>
      </c>
      <c r="C12" s="4" t="s">
        <v>5</v>
      </c>
      <c r="D12" s="4"/>
      <c r="E12" s="4"/>
      <c r="F12" s="4"/>
      <c r="G12" s="4"/>
    </row>
    <row r="13" customFormat="false" ht="30" hidden="false" customHeight="true" outlineLevel="0" collapsed="false">
      <c r="B13" s="3" t="s">
        <v>6</v>
      </c>
      <c r="C13" s="4" t="s">
        <v>7</v>
      </c>
      <c r="D13" s="4"/>
      <c r="E13" s="4"/>
      <c r="F13" s="4"/>
      <c r="G13" s="4"/>
    </row>
    <row r="14" customFormat="false" ht="30" hidden="false" customHeight="true" outlineLevel="0" collapsed="false">
      <c r="B14" s="3" t="s">
        <v>8</v>
      </c>
      <c r="C14" s="4" t="s">
        <v>9</v>
      </c>
      <c r="D14" s="4"/>
      <c r="E14" s="4"/>
      <c r="F14" s="4"/>
      <c r="G14" s="4"/>
    </row>
    <row r="15" customFormat="false" ht="30" hidden="false" customHeight="true" outlineLevel="0" collapsed="false">
      <c r="B15" s="3" t="s">
        <v>10</v>
      </c>
      <c r="C15" s="4" t="s">
        <v>11</v>
      </c>
      <c r="D15" s="4"/>
      <c r="E15" s="4"/>
      <c r="F15" s="4"/>
      <c r="G15" s="4"/>
    </row>
    <row r="16" customFormat="false" ht="30" hidden="false" customHeight="true" outlineLevel="0" collapsed="false">
      <c r="B16" s="3" t="s">
        <v>12</v>
      </c>
      <c r="C16" s="4" t="s">
        <v>13</v>
      </c>
      <c r="D16" s="4"/>
      <c r="E16" s="4"/>
      <c r="F16" s="4"/>
      <c r="G16" s="4"/>
    </row>
    <row r="17" customFormat="false" ht="30" hidden="false" customHeight="true" outlineLevel="0" collapsed="false">
      <c r="B17" s="3" t="s">
        <v>14</v>
      </c>
      <c r="C17" s="4" t="s">
        <v>15</v>
      </c>
      <c r="D17" s="4"/>
      <c r="E17" s="4"/>
      <c r="F17" s="4"/>
      <c r="G17" s="4"/>
    </row>
    <row r="18" customFormat="false" ht="30" hidden="false" customHeight="true" outlineLevel="0" collapsed="false">
      <c r="B18" s="3" t="s">
        <v>16</v>
      </c>
      <c r="C18" s="4" t="s">
        <v>17</v>
      </c>
      <c r="D18" s="4"/>
      <c r="E18" s="4"/>
      <c r="F18" s="4"/>
      <c r="G18" s="4"/>
    </row>
    <row r="19" customFormat="false" ht="57.75" hidden="false" customHeight="true" outlineLevel="0" collapsed="false">
      <c r="B19" s="3" t="s">
        <v>18</v>
      </c>
      <c r="C19" s="5" t="s">
        <v>19</v>
      </c>
      <c r="D19" s="5"/>
      <c r="E19" s="5"/>
      <c r="F19" s="5"/>
      <c r="G19" s="5"/>
    </row>
    <row r="21" customFormat="false" ht="15" hidden="false" customHeight="false" outlineLevel="0" collapsed="false">
      <c r="B21" s="6" t="s">
        <v>20</v>
      </c>
    </row>
    <row r="22" customFormat="false" ht="15" hidden="false" customHeight="true" outlineLevel="0" collapsed="false">
      <c r="B22" s="7" t="s">
        <v>21</v>
      </c>
      <c r="C22" s="4" t="s">
        <v>22</v>
      </c>
      <c r="D22" s="4"/>
      <c r="E22" s="4"/>
      <c r="F22" s="4"/>
      <c r="G22" s="4"/>
    </row>
    <row r="23" customFormat="false" ht="15" hidden="false" customHeight="true" outlineLevel="0" collapsed="false">
      <c r="B23" s="7" t="s">
        <v>23</v>
      </c>
      <c r="C23" s="4" t="s">
        <v>24</v>
      </c>
      <c r="D23" s="4"/>
      <c r="E23" s="4"/>
      <c r="F23" s="4"/>
      <c r="G23" s="4"/>
    </row>
    <row r="24" customFormat="false" ht="15" hidden="false" customHeight="true" outlineLevel="0" collapsed="false">
      <c r="B24" s="7" t="s">
        <v>25</v>
      </c>
      <c r="C24" s="4" t="s">
        <v>26</v>
      </c>
      <c r="D24" s="4"/>
      <c r="E24" s="4"/>
      <c r="F24" s="4"/>
      <c r="G24" s="4"/>
    </row>
    <row r="25" customFormat="false" ht="15" hidden="false" customHeight="true" outlineLevel="0" collapsed="false">
      <c r="B25" s="7" t="s">
        <v>27</v>
      </c>
      <c r="C25" s="4" t="s">
        <v>28</v>
      </c>
      <c r="D25" s="4"/>
      <c r="E25" s="4"/>
      <c r="F25" s="4"/>
      <c r="G25" s="4"/>
    </row>
    <row r="27" customFormat="false" ht="15" hidden="false" customHeight="true" outlineLevel="0" collapsed="false">
      <c r="B27" s="8" t="s">
        <v>29</v>
      </c>
      <c r="C27" s="8"/>
      <c r="D27" s="8"/>
      <c r="E27" s="8"/>
      <c r="F27" s="8"/>
      <c r="G27" s="8"/>
    </row>
    <row r="28" customFormat="false" ht="15" hidden="false" customHeight="false" outlineLevel="0" collapsed="false"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B29" s="8"/>
      <c r="C29" s="8"/>
      <c r="D29" s="8"/>
      <c r="E29" s="8"/>
      <c r="F29" s="8"/>
      <c r="G29" s="8"/>
    </row>
    <row r="30" customFormat="false" ht="15" hidden="false" customHeight="false" outlineLevel="0" collapsed="false"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B31" s="8"/>
      <c r="C31" s="8"/>
      <c r="D31" s="8"/>
      <c r="E31" s="8"/>
      <c r="F31" s="8"/>
      <c r="G31" s="8"/>
    </row>
  </sheetData>
  <mergeCells count="14"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5:G25"/>
    <mergeCell ref="B27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9" t="s">
        <v>30</v>
      </c>
    </row>
    <row r="3" customFormat="false" ht="42" hidden="false" customHeight="true" outlineLevel="0" collapsed="false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2" t="n">
        <v>14.94</v>
      </c>
      <c r="D4" s="12" t="n">
        <v>56.25</v>
      </c>
      <c r="E4" s="13" t="n">
        <f aca="false">C4/D4</f>
        <v>0.2656</v>
      </c>
      <c r="F4" s="11" t="s">
        <v>39</v>
      </c>
    </row>
    <row r="5" customFormat="false" ht="15" hidden="false" customHeight="false" outlineLevel="0" collapsed="false">
      <c r="A5" s="11" t="s">
        <v>37</v>
      </c>
      <c r="B5" s="11" t="s">
        <v>40</v>
      </c>
      <c r="C5" s="12" t="n">
        <v>20.09</v>
      </c>
      <c r="D5" s="12" t="n">
        <v>33.13</v>
      </c>
      <c r="E5" s="13" t="n">
        <f aca="false">C5/D5</f>
        <v>0.606399034108059</v>
      </c>
      <c r="F5" s="11" t="s">
        <v>39</v>
      </c>
    </row>
    <row r="6" customFormat="false" ht="15" hidden="false" customHeight="false" outlineLevel="0" collapsed="false">
      <c r="A6" s="11" t="s">
        <v>37</v>
      </c>
      <c r="B6" s="11" t="s">
        <v>41</v>
      </c>
      <c r="C6" s="12" t="n">
        <v>38.77</v>
      </c>
      <c r="D6" s="12" t="n">
        <v>23.57</v>
      </c>
      <c r="E6" s="13" t="n">
        <f aca="false">C6/D6</f>
        <v>1.64488756894357</v>
      </c>
      <c r="F6" s="11" t="s">
        <v>39</v>
      </c>
    </row>
    <row r="7" customFormat="false" ht="15" hidden="false" customHeight="false" outlineLevel="0" collapsed="false">
      <c r="A7" s="11" t="s">
        <v>37</v>
      </c>
      <c r="B7" s="11" t="s">
        <v>42</v>
      </c>
      <c r="C7" s="12" t="n">
        <v>11</v>
      </c>
      <c r="D7" s="12" t="n">
        <v>23.57</v>
      </c>
      <c r="E7" s="13" t="n">
        <f aca="false">C7/D7</f>
        <v>0.466694951209164</v>
      </c>
      <c r="F7" s="11" t="s">
        <v>39</v>
      </c>
    </row>
    <row r="8" customFormat="false" ht="15" hidden="false" customHeight="false" outlineLevel="0" collapsed="false">
      <c r="A8" s="11" t="s">
        <v>37</v>
      </c>
      <c r="B8" s="11" t="s">
        <v>43</v>
      </c>
      <c r="C8" s="12" t="n">
        <v>0.21</v>
      </c>
      <c r="D8" s="12" t="n">
        <v>15</v>
      </c>
      <c r="E8" s="13" t="n">
        <f aca="false">C8/D8</f>
        <v>0.014</v>
      </c>
      <c r="F8" s="11" t="s">
        <v>39</v>
      </c>
    </row>
    <row r="9" customFormat="false" ht="15" hidden="false" customHeight="false" outlineLevel="0" collapsed="false">
      <c r="A9" s="14" t="s">
        <v>37</v>
      </c>
      <c r="B9" s="14" t="s">
        <v>44</v>
      </c>
      <c r="C9" s="15" t="n">
        <f aca="false">SUM(C4:C8)</f>
        <v>85.01</v>
      </c>
      <c r="D9" s="15" t="n">
        <f aca="false">C9/E9</f>
        <v>28.3595286604182</v>
      </c>
      <c r="E9" s="16" t="n">
        <f aca="false">SUM(E4:E8)</f>
        <v>2.9975815542608</v>
      </c>
      <c r="F9" s="11" t="s">
        <v>45</v>
      </c>
    </row>
    <row r="11" customFormat="false" ht="15" hidden="false" customHeight="false" outlineLevel="0" collapsed="false">
      <c r="A11" s="11" t="s">
        <v>46</v>
      </c>
      <c r="B11" s="11" t="s">
        <v>38</v>
      </c>
      <c r="C11" s="12" t="n">
        <v>25.09</v>
      </c>
      <c r="D11" s="12" t="n">
        <v>56.25</v>
      </c>
      <c r="E11" s="13" t="n">
        <f aca="false">C11/D11</f>
        <v>0.446044444444444</v>
      </c>
      <c r="F11" s="11" t="s">
        <v>39</v>
      </c>
    </row>
    <row r="12" customFormat="false" ht="15" hidden="false" customHeight="false" outlineLevel="0" collapsed="false">
      <c r="A12" s="11" t="s">
        <v>46</v>
      </c>
      <c r="B12" s="11" t="s">
        <v>40</v>
      </c>
      <c r="C12" s="12" t="n">
        <v>11.83</v>
      </c>
      <c r="D12" s="12" t="n">
        <v>33.13</v>
      </c>
      <c r="E12" s="13" t="n">
        <f aca="false">C12/D12</f>
        <v>0.357078176878962</v>
      </c>
      <c r="F12" s="11" t="s">
        <v>39</v>
      </c>
    </row>
    <row r="13" customFormat="false" ht="15" hidden="false" customHeight="false" outlineLevel="0" collapsed="false">
      <c r="A13" s="11" t="s">
        <v>46</v>
      </c>
      <c r="B13" s="11" t="s">
        <v>41</v>
      </c>
      <c r="C13" s="12" t="n">
        <v>28.04</v>
      </c>
      <c r="D13" s="12" t="n">
        <v>23.57</v>
      </c>
      <c r="E13" s="13" t="n">
        <f aca="false">C13/D13</f>
        <v>1.18964785744591</v>
      </c>
      <c r="F13" s="11" t="s">
        <v>39</v>
      </c>
    </row>
    <row r="14" customFormat="false" ht="15" hidden="false" customHeight="false" outlineLevel="0" collapsed="false">
      <c r="A14" s="11" t="s">
        <v>46</v>
      </c>
      <c r="B14" s="11" t="s">
        <v>42</v>
      </c>
      <c r="C14" s="12" t="n">
        <v>11</v>
      </c>
      <c r="D14" s="12" t="n">
        <v>23.57</v>
      </c>
      <c r="E14" s="13" t="n">
        <f aca="false">C14/D14</f>
        <v>0.466694951209164</v>
      </c>
      <c r="F14" s="11" t="s">
        <v>39</v>
      </c>
    </row>
    <row r="15" customFormat="false" ht="15" hidden="false" customHeight="false" outlineLevel="0" collapsed="false">
      <c r="A15" s="11" t="s">
        <v>46</v>
      </c>
      <c r="B15" s="11" t="s">
        <v>43</v>
      </c>
      <c r="C15" s="12" t="n">
        <v>0.21</v>
      </c>
      <c r="D15" s="12" t="n">
        <v>15</v>
      </c>
      <c r="E15" s="13" t="n">
        <f aca="false">C15/D15</f>
        <v>0.014</v>
      </c>
      <c r="F15" s="11" t="s">
        <v>39</v>
      </c>
    </row>
    <row r="16" customFormat="false" ht="15" hidden="false" customHeight="false" outlineLevel="0" collapsed="false">
      <c r="A16" s="14" t="s">
        <v>46</v>
      </c>
      <c r="B16" s="14" t="s">
        <v>44</v>
      </c>
      <c r="C16" s="15" t="n">
        <f aca="false">SUM(C11:C15)</f>
        <v>76.17</v>
      </c>
      <c r="D16" s="15" t="n">
        <f aca="false">C16/E16</f>
        <v>30.7948512547688</v>
      </c>
      <c r="E16" s="16" t="n">
        <f aca="false">SUM(E11:E15)</f>
        <v>2.47346542997848</v>
      </c>
      <c r="F16" s="11" t="s">
        <v>47</v>
      </c>
    </row>
    <row r="18" customFormat="false" ht="39" hidden="false" customHeight="true" outlineLevel="0" collapsed="false">
      <c r="A18" s="8" t="s">
        <v>48</v>
      </c>
      <c r="B18" s="8"/>
      <c r="C18" s="8"/>
      <c r="D18" s="8"/>
      <c r="E18" s="8"/>
      <c r="F18" s="8"/>
    </row>
  </sheetData>
  <mergeCells count="1"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4"/>
    <col collapsed="false" customWidth="true" hidden="false" outlineLevel="0" max="6" min="6" style="0" width="62"/>
    <col collapsed="false" customWidth="true" hidden="false" outlineLevel="0" max="7" min="7" style="0" width="16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9" t="s">
        <v>49</v>
      </c>
    </row>
    <row r="3" customFormat="false" ht="42" hidden="false" customHeight="true" outlineLevel="0" collapsed="false">
      <c r="A3" s="10" t="s">
        <v>31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36</v>
      </c>
      <c r="I3" s="7" t="s">
        <v>55</v>
      </c>
    </row>
    <row r="4" customFormat="false" ht="27.75" hidden="false" customHeight="true" outlineLevel="0" collapsed="false">
      <c r="A4" s="11" t="s">
        <v>37</v>
      </c>
      <c r="B4" s="14" t="s">
        <v>56</v>
      </c>
      <c r="C4" s="13" t="n">
        <f aca="false">Tramos!E9</f>
        <v>2.9975815542608</v>
      </c>
      <c r="D4" s="17" t="n">
        <f aca="false">C4*60</f>
        <v>179.854893255648</v>
      </c>
      <c r="E4" s="17" t="n">
        <f aca="false">Tramos!C9/C4</f>
        <v>28.3595286604182</v>
      </c>
      <c r="F4" s="18" t="s">
        <v>57</v>
      </c>
      <c r="G4" s="11" t="s">
        <v>58</v>
      </c>
      <c r="I4" s="19" t="s">
        <v>59</v>
      </c>
      <c r="J4" s="12" t="n">
        <v>4</v>
      </c>
    </row>
    <row r="5" customFormat="false" ht="27.75" hidden="false" customHeight="true" outlineLevel="0" collapsed="false">
      <c r="A5" s="11" t="s">
        <v>37</v>
      </c>
      <c r="B5" s="14" t="s">
        <v>60</v>
      </c>
      <c r="C5" s="13" t="n">
        <f aca="false">$J$4</f>
        <v>4</v>
      </c>
      <c r="D5" s="17" t="n">
        <f aca="false">C5*60</f>
        <v>240</v>
      </c>
      <c r="E5" s="17" t="n">
        <f aca="false">Tramos!C9/C5</f>
        <v>21.2525</v>
      </c>
      <c r="F5" s="18" t="s">
        <v>61</v>
      </c>
      <c r="G5" s="11" t="s">
        <v>62</v>
      </c>
      <c r="I5" s="19" t="s">
        <v>63</v>
      </c>
      <c r="J5" s="12" t="n">
        <v>1</v>
      </c>
    </row>
    <row r="6" customFormat="false" ht="27.75" hidden="false" customHeight="true" outlineLevel="0" collapsed="false">
      <c r="A6" s="11" t="s">
        <v>37</v>
      </c>
      <c r="B6" s="14" t="s">
        <v>64</v>
      </c>
      <c r="C6" s="13" t="n">
        <f aca="false">$J$4+$J$5</f>
        <v>5</v>
      </c>
      <c r="D6" s="17" t="n">
        <f aca="false">C6*60</f>
        <v>300</v>
      </c>
      <c r="E6" s="17" t="n">
        <f aca="false">Tramos!C9/C6</f>
        <v>17.002</v>
      </c>
      <c r="F6" s="18" t="s">
        <v>65</v>
      </c>
      <c r="G6" s="11" t="s">
        <v>58</v>
      </c>
    </row>
    <row r="8" customFormat="false" ht="27.75" hidden="false" customHeight="true" outlineLevel="0" collapsed="false">
      <c r="A8" s="11" t="s">
        <v>46</v>
      </c>
      <c r="B8" s="14" t="s">
        <v>56</v>
      </c>
      <c r="C8" s="13" t="n">
        <f aca="false">Tramos!E16</f>
        <v>2.47346542997848</v>
      </c>
      <c r="D8" s="17" t="n">
        <f aca="false">C8*60</f>
        <v>148.407925798709</v>
      </c>
      <c r="E8" s="17" t="n">
        <f aca="false">Tramos!C16/C8</f>
        <v>30.7948512547688</v>
      </c>
      <c r="F8" s="18" t="s">
        <v>57</v>
      </c>
      <c r="G8" s="11" t="s">
        <v>58</v>
      </c>
    </row>
    <row r="9" customFormat="false" ht="27.75" hidden="false" customHeight="true" outlineLevel="0" collapsed="false">
      <c r="A9" s="11" t="s">
        <v>46</v>
      </c>
      <c r="B9" s="14" t="s">
        <v>60</v>
      </c>
      <c r="C9" s="13" t="n">
        <f aca="false">$J$4</f>
        <v>4</v>
      </c>
      <c r="D9" s="17" t="n">
        <f aca="false">C9*60</f>
        <v>240</v>
      </c>
      <c r="E9" s="17" t="n">
        <f aca="false">Tramos!C16/C9</f>
        <v>19.0425</v>
      </c>
      <c r="F9" s="18" t="s">
        <v>61</v>
      </c>
      <c r="G9" s="11" t="s">
        <v>62</v>
      </c>
    </row>
    <row r="10" customFormat="false" ht="27.75" hidden="false" customHeight="true" outlineLevel="0" collapsed="false">
      <c r="A10" s="11" t="s">
        <v>46</v>
      </c>
      <c r="B10" s="14" t="s">
        <v>64</v>
      </c>
      <c r="C10" s="13" t="n">
        <f aca="false">$J$4+$J$5</f>
        <v>5</v>
      </c>
      <c r="D10" s="17" t="n">
        <f aca="false">C10*60</f>
        <v>300</v>
      </c>
      <c r="E10" s="17" t="n">
        <f aca="false">Tramos!C16/C10</f>
        <v>15.234</v>
      </c>
      <c r="F10" s="18" t="s">
        <v>65</v>
      </c>
      <c r="G10" s="11" t="s">
        <v>58</v>
      </c>
    </row>
    <row r="13" customFormat="false" ht="16.15" hidden="false" customHeight="false" outlineLevel="0" collapsed="false">
      <c r="A13" s="9" t="s">
        <v>66</v>
      </c>
    </row>
    <row r="15" customFormat="false" ht="42" hidden="false" customHeight="true" outlineLevel="0" collapsed="false">
      <c r="A15" s="10" t="s">
        <v>50</v>
      </c>
      <c r="B15" s="10" t="s">
        <v>51</v>
      </c>
      <c r="C15" s="10" t="s">
        <v>52</v>
      </c>
    </row>
    <row r="16" customFormat="false" ht="15" hidden="false" customHeight="false" outlineLevel="0" collapsed="false">
      <c r="A16" s="14" t="s">
        <v>56</v>
      </c>
      <c r="B16" s="16" t="n">
        <f aca="false">C4+C8</f>
        <v>5.47104698423927</v>
      </c>
      <c r="C16" s="17" t="n">
        <f aca="false">B16*60</f>
        <v>328.262819054356</v>
      </c>
    </row>
    <row r="17" customFormat="false" ht="15" hidden="false" customHeight="false" outlineLevel="0" collapsed="false">
      <c r="A17" s="14" t="s">
        <v>60</v>
      </c>
      <c r="B17" s="16" t="n">
        <f aca="false">C5+C9</f>
        <v>8</v>
      </c>
      <c r="C17" s="17" t="n">
        <f aca="false">B17*60</f>
        <v>480</v>
      </c>
    </row>
    <row r="18" customFormat="false" ht="15" hidden="false" customHeight="false" outlineLevel="0" collapsed="false">
      <c r="A18" s="14" t="s">
        <v>64</v>
      </c>
      <c r="B18" s="16" t="n">
        <f aca="false">C6+C10</f>
        <v>10</v>
      </c>
      <c r="C18" s="17" t="n">
        <f aca="false">B18*60</f>
        <v>600</v>
      </c>
    </row>
    <row r="20" customFormat="false" ht="39" hidden="false" customHeight="true" outlineLevel="0" collapsed="false">
      <c r="A20" s="8" t="s">
        <v>67</v>
      </c>
      <c r="B20" s="8"/>
      <c r="C20" s="8"/>
      <c r="D20" s="8"/>
      <c r="E20" s="8"/>
      <c r="F20" s="8"/>
      <c r="G20" s="8"/>
    </row>
  </sheetData>
  <mergeCells count="1"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9" t="s">
        <v>68</v>
      </c>
    </row>
    <row r="3" customFormat="false" ht="42" hidden="false" customHeight="true" outlineLevel="0" collapsed="false">
      <c r="A3" s="10" t="s">
        <v>69</v>
      </c>
      <c r="B3" s="10" t="s">
        <v>70</v>
      </c>
      <c r="C3" s="10" t="s">
        <v>71</v>
      </c>
      <c r="D3" s="10" t="s">
        <v>72</v>
      </c>
      <c r="E3" s="10" t="s">
        <v>73</v>
      </c>
      <c r="F3" s="10" t="s">
        <v>74</v>
      </c>
    </row>
    <row r="4" customFormat="false" ht="43.5" hidden="false" customHeight="true" outlineLevel="0" collapsed="false">
      <c r="A4" s="18" t="s">
        <v>75</v>
      </c>
      <c r="B4" s="18" t="s">
        <v>76</v>
      </c>
      <c r="C4" s="20" t="s">
        <v>77</v>
      </c>
      <c r="D4" s="18" t="s">
        <v>78</v>
      </c>
      <c r="E4" s="18" t="s">
        <v>79</v>
      </c>
      <c r="F4" s="18" t="s">
        <v>80</v>
      </c>
    </row>
    <row r="5" customFormat="false" ht="43.5" hidden="false" customHeight="true" outlineLevel="0" collapsed="false">
      <c r="A5" s="18" t="s">
        <v>81</v>
      </c>
      <c r="B5" s="18" t="s">
        <v>82</v>
      </c>
      <c r="C5" s="20" t="s">
        <v>83</v>
      </c>
      <c r="D5" s="18" t="s">
        <v>84</v>
      </c>
      <c r="E5" s="18" t="s">
        <v>81</v>
      </c>
      <c r="F5" s="18" t="s">
        <v>85</v>
      </c>
    </row>
    <row r="6" customFormat="false" ht="43.5" hidden="false" customHeight="true" outlineLevel="0" collapsed="false">
      <c r="A6" s="18" t="s">
        <v>86</v>
      </c>
      <c r="B6" s="18" t="s">
        <v>87</v>
      </c>
      <c r="C6" s="20" t="s">
        <v>88</v>
      </c>
      <c r="D6" s="18" t="s">
        <v>89</v>
      </c>
      <c r="E6" s="18" t="s">
        <v>90</v>
      </c>
      <c r="F6" s="18" t="s">
        <v>91</v>
      </c>
    </row>
    <row r="7" customFormat="false" ht="43.5" hidden="false" customHeight="true" outlineLevel="0" collapsed="false">
      <c r="A7" s="18" t="s">
        <v>92</v>
      </c>
      <c r="B7" s="18" t="s">
        <v>93</v>
      </c>
      <c r="C7" s="20" t="s">
        <v>94</v>
      </c>
      <c r="D7" s="18" t="s">
        <v>95</v>
      </c>
      <c r="E7" s="18" t="s">
        <v>96</v>
      </c>
      <c r="F7" s="18" t="s">
        <v>97</v>
      </c>
    </row>
    <row r="9" customFormat="false" ht="25.5" hidden="false" customHeight="true" outlineLevel="0" collapsed="false">
      <c r="A9" s="8" t="s">
        <v>98</v>
      </c>
      <c r="B9" s="8"/>
      <c r="C9" s="8"/>
      <c r="D9" s="8"/>
      <c r="E9" s="8"/>
      <c r="F9" s="8"/>
    </row>
  </sheetData>
  <mergeCells count="1"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  <col collapsed="false" customWidth="true" hidden="false" outlineLevel="0" max="3" min="3" style="0" width="46"/>
    <col collapsed="false" customWidth="true" hidden="false" outlineLevel="0" max="4" min="4" style="0" width="36"/>
  </cols>
  <sheetData>
    <row r="1" customFormat="false" ht="16.15" hidden="false" customHeight="false" outlineLevel="0" collapsed="false">
      <c r="A1" s="9" t="s">
        <v>99</v>
      </c>
    </row>
    <row r="3" customFormat="false" ht="42" hidden="false" customHeight="true" outlineLevel="0" collapsed="false">
      <c r="A3" s="10" t="s">
        <v>100</v>
      </c>
      <c r="B3" s="10" t="s">
        <v>101</v>
      </c>
      <c r="C3" s="10" t="s">
        <v>102</v>
      </c>
      <c r="D3" s="10" t="s">
        <v>103</v>
      </c>
    </row>
    <row r="4" customFormat="false" ht="43.5" hidden="false" customHeight="true" outlineLevel="0" collapsed="false">
      <c r="A4" s="14" t="s">
        <v>90</v>
      </c>
      <c r="B4" s="18" t="s">
        <v>104</v>
      </c>
      <c r="C4" s="18" t="s">
        <v>105</v>
      </c>
      <c r="D4" s="11" t="s">
        <v>106</v>
      </c>
    </row>
    <row r="5" customFormat="false" ht="43.5" hidden="false" customHeight="true" outlineLevel="0" collapsed="false">
      <c r="A5" s="14" t="s">
        <v>107</v>
      </c>
      <c r="B5" s="18" t="s">
        <v>108</v>
      </c>
      <c r="C5" s="18" t="s">
        <v>109</v>
      </c>
      <c r="D5" s="11" t="s">
        <v>110</v>
      </c>
    </row>
    <row r="6" customFormat="false" ht="43.5" hidden="false" customHeight="true" outlineLevel="0" collapsed="false">
      <c r="A6" s="14" t="s">
        <v>111</v>
      </c>
      <c r="B6" s="18" t="s">
        <v>108</v>
      </c>
      <c r="C6" s="18" t="s">
        <v>112</v>
      </c>
      <c r="D6" s="11" t="s">
        <v>113</v>
      </c>
    </row>
    <row r="7" customFormat="false" ht="43.5" hidden="false" customHeight="true" outlineLevel="0" collapsed="false">
      <c r="A7" s="14" t="s">
        <v>114</v>
      </c>
      <c r="B7" s="18" t="s">
        <v>115</v>
      </c>
      <c r="C7" s="18" t="s">
        <v>116</v>
      </c>
      <c r="D7" s="11" t="s">
        <v>117</v>
      </c>
    </row>
    <row r="8" customFormat="false" ht="43.5" hidden="false" customHeight="true" outlineLevel="0" collapsed="false">
      <c r="A8" s="14" t="s">
        <v>81</v>
      </c>
      <c r="B8" s="18" t="s">
        <v>118</v>
      </c>
      <c r="C8" s="18" t="s">
        <v>119</v>
      </c>
      <c r="D8" s="11" t="s">
        <v>120</v>
      </c>
    </row>
    <row r="9" customFormat="false" ht="43.5" hidden="false" customHeight="true" outlineLevel="0" collapsed="false">
      <c r="A9" s="14" t="s">
        <v>79</v>
      </c>
      <c r="B9" s="18" t="s">
        <v>121</v>
      </c>
      <c r="C9" s="18" t="s">
        <v>122</v>
      </c>
      <c r="D9" s="11" t="s">
        <v>122</v>
      </c>
    </row>
    <row r="10" customFormat="false" ht="43.5" hidden="false" customHeight="true" outlineLevel="0" collapsed="false">
      <c r="A10" s="14" t="s">
        <v>123</v>
      </c>
      <c r="B10" s="18" t="s">
        <v>124</v>
      </c>
      <c r="C10" s="18" t="s">
        <v>122</v>
      </c>
      <c r="D10" s="11" t="s">
        <v>122</v>
      </c>
    </row>
    <row r="11" customFormat="false" ht="43.5" hidden="false" customHeight="true" outlineLevel="0" collapsed="false">
      <c r="A11" s="14" t="s">
        <v>96</v>
      </c>
      <c r="B11" s="18" t="s">
        <v>125</v>
      </c>
      <c r="C11" s="18" t="s">
        <v>122</v>
      </c>
      <c r="D11" s="11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2026-09-29T21:14:53Z</dcterms:created>
  <dc:creator>openpyxl</dc:creator>
  <dc:description/>
  <dc:language>en-US</dc:language>
  <cp:lastModifiedBy/>
  <dcterms:modified xsi:type="dcterms:W3CDTF">2026-09-29T21:14:53Z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