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Matriz" sheetId="2" state="visible" r:id="rId4"/>
    <sheet name="Parámetros" sheetId="3" state="visible" r:id="rId5"/>
    <sheet name="Fallas" sheetId="4" state="visible" r:id="rId6"/>
    <sheet name="Contraste" sheetId="5" state="visible" r:id="rId7"/>
    <sheet name="Análogo La Línea" sheetId="6" state="visible" r:id="rId8"/>
    <sheet name="Marcas y fuen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<sst xmlns="http://schemas.openxmlformats.org/spreadsheetml/2006/main" count="464" uniqueCount="305">
  <si>
    <t xml:space="preserve">Matriz litológica del macizo a lo largo del túnel</t>
  </si>
  <si>
    <t xml:space="preserve">Objetivo específico 4 · Actividad 1 — Caracterización litológica y de zonas de falla a partir de la cartografía del SGC</t>
  </si>
  <si>
    <t xml:space="preserve">Objetivo</t>
  </si>
  <si>
    <t xml:space="preserve">OE 4: Estructurar la metodología de excavación recomendada, contrastando el método mecanizado con tuneladora frente al método convencional, a partir de la caracterización geológica regional del macizo</t>
  </si>
  <si>
    <t xml:space="preserve">Actividad</t>
  </si>
  <si>
    <t xml:space="preserve">1. Caracterización litológica y de zonas de falla del macizo a partir de la cartografía del SGC</t>
  </si>
  <si>
    <t xml:space="preserve">Entregable / formato</t>
  </si>
  <si>
    <t xml:space="preserve">Matriz litológica · Documento Excel</t>
  </si>
  <si>
    <t xml:space="preserve">Periodo</t>
  </si>
  <si>
    <t xml:space="preserve">Bloque 2 del Plan de Acción (5 oct - 7 nov 2026)</t>
  </si>
  <si>
    <t xml:space="preserve">Responsable asignado</t>
  </si>
  <si>
    <t xml:space="preserve">Castaño Cifuentes Maicol Stiven</t>
  </si>
  <si>
    <t xml:space="preserve">Apoyo en la ejecución</t>
  </si>
  <si>
    <t xml:space="preserve">Tamayo Osorio Miguel Ángel, con apoyo de IA (Claude)</t>
  </si>
  <si>
    <t xml:space="preserve">Semillero</t>
  </si>
  <si>
    <t xml:space="preserve">Semillero de Investigación GEOPAV · Ingeniería Civil · Universidad de Ibagué · Paz y Región 2026B</t>
  </si>
  <si>
    <t xml:space="preserve">Fecha de elaboración</t>
  </si>
  <si>
    <t xml:space="preserve">29 sep 2026</t>
  </si>
  <si>
    <t xml:space="preserve">Advertencia</t>
  </si>
  <si>
    <t xml:space="preserve">Caracterización REGIONAL (escalas 1:1.000.000 a 1:500.000). No hay sondeos a la profundidad del túnel: los parámetros de macizo son rangos de fuentes publicadas e hipótesis declaradas. Las fallas cartografiadas a esta escala subestiman las que encontrará la excavación (análogo: Túnel de La Línea).</t>
  </si>
  <si>
    <t xml:space="preserve">Índice de hojas (tabla de contenido)</t>
  </si>
  <si>
    <t xml:space="preserve">Matriz</t>
  </si>
  <si>
    <t xml:space="preserve">Tabla 1. Matriz litológica por tramos del eje (MGC 2023) con cobertura y parámetros de macizo</t>
  </si>
  <si>
    <t xml:space="preserve">Parámetros</t>
  </si>
  <si>
    <t xml:space="preserve">Tabla 2. Juegos de parámetros de macizo (σci, mi, GSI) y su origen</t>
  </si>
  <si>
    <t xml:space="preserve">Fallas</t>
  </si>
  <si>
    <t xml:space="preserve">Tabla 3. Fallas que cortan el eje según tres cartografías · Tabla 4. Zona de influencia adoptada</t>
  </si>
  <si>
    <t xml:space="preserve">Contraste</t>
  </si>
  <si>
    <t xml:space="preserve">Tabla 5. Unidades según Atlas 2007, Tolima y Quindío frente al MGC 2023</t>
  </si>
  <si>
    <t xml:space="preserve">Análogo La Línea</t>
  </si>
  <si>
    <t xml:space="preserve">Tabla 6. Sectores del túnel piloto · Tabla 7. Fallas del túnel II Centenario · Tabla 8. RMR observado</t>
  </si>
  <si>
    <t xml:space="preserve">Marcas y fuentes</t>
  </si>
  <si>
    <t xml:space="preserve">Tabla 9. Marcas F / CP / H / DA · Tabla 10. Fuentes citadas y consultas</t>
  </si>
  <si>
    <t xml:space="preserve">Índice de tablas: tablas 1 a 10 según el índice de hojas. Índice de figuras: no tiene figuras (el perfil geológico va en el plano de la Act 2). Índice de anexos: no tiene anexos; las respuestas crudas del SGC quedan en OE4_Tuneles/Act1_Litologia/Datos/. Convención: verde = valor leído de otro producto; fondo amarillo = hipótesis [H]. Abscisa (PK) en metros desde el portal oriental (Ibagué). Elaborado con apoyo de IA (Claude) y verificado contra las fuentes. Script: OE4_Tuneles/Act1_Litologia/matriz_litologica_OE4.py</t>
  </si>
  <si>
    <t xml:space="preserve">Tabla 1. Matriz litológica del eje del túnel por tramos del Mapa Geológico de Colombia 2023</t>
  </si>
  <si>
    <t xml:space="preserve">PK en metros desde el portal oriental. Cobertura = cota del terreno − cota de rasante (perfil del OE 1) [CP]. Unidades del MGC 2023 [F]. Parámetros: hoja «Parámetros».</t>
  </si>
  <si>
    <t xml:space="preserve">Tramo</t>
  </si>
  <si>
    <t xml:space="preserve">PK inicio (m)</t>
  </si>
  <si>
    <t xml:space="preserve">PK fin (m)</t>
  </si>
  <si>
    <t xml:space="preserve">Longitud (m)</t>
  </si>
  <si>
    <t xml:space="preserve">% del eje</t>
  </si>
  <si>
    <t xml:space="preserve">Símbolo MGC</t>
  </si>
  <si>
    <t xml:space="preserve">Litología (MGC 2023)</t>
  </si>
  <si>
    <t xml:space="preserve">Edad</t>
  </si>
  <si>
    <t xml:space="preserve">Cobertura mín. (m)</t>
  </si>
  <si>
    <t xml:space="preserve">Cobertura media (m)</t>
  </si>
  <si>
    <t xml:space="preserve">Cobertura máx. (m)</t>
  </si>
  <si>
    <t xml:space="preserve">Juegos de parámetros</t>
  </si>
  <si>
    <t xml:space="preserve">Fallas MGC en el tramo o en su borde</t>
  </si>
  <si>
    <t xml:space="preserve">T1</t>
  </si>
  <si>
    <t xml:space="preserve">P-Pi</t>
  </si>
  <si>
    <t xml:space="preserve">Granodioritas que varían de sienogranitos a tonalitas y de cuarzomonzonitas a cuarzomonzodioritas</t>
  </si>
  <si>
    <t xml:space="preserve">Pérmico</t>
  </si>
  <si>
    <t xml:space="preserve">R1 + R2</t>
  </si>
  <si>
    <t xml:space="preserve">Falla de Ibagué (PK 13.111)</t>
  </si>
  <si>
    <t xml:space="preserve">T2</t>
  </si>
  <si>
    <t xml:space="preserve">J-Pi</t>
  </si>
  <si>
    <t xml:space="preserve">Jurásico</t>
  </si>
  <si>
    <t xml:space="preserve">R2</t>
  </si>
  <si>
    <t xml:space="preserve">Falla de Ibagué (PK 13.111); Falla de Chapetón-Pericos (PK 15.235)</t>
  </si>
  <si>
    <t xml:space="preserve">T3</t>
  </si>
  <si>
    <t xml:space="preserve">T-Mmg</t>
  </si>
  <si>
    <t xml:space="preserve">Gneises cuarzofeldespáticos algunos con sillimanita, cordierita y hornblenda; anfibolitas; migmatitas; esquistos, y mármoles.</t>
  </si>
  <si>
    <t xml:space="preserve">Triásico</t>
  </si>
  <si>
    <t xml:space="preserve">gneis_anfibolita</t>
  </si>
  <si>
    <t xml:space="preserve">Falla de Chapetón-Pericos (PK 15.235); sin nombre (PK 16.383)</t>
  </si>
  <si>
    <t xml:space="preserve">T4</t>
  </si>
  <si>
    <t xml:space="preserve">J3K1?-Mbg</t>
  </si>
  <si>
    <t xml:space="preserve">Esquistos grafíticos, cuarzomoscovíticos, cloríticos y anfibólicos; filitas; cuarcitas; mármoles, y serpentinitas.</t>
  </si>
  <si>
    <t xml:space="preserve">Jurásico Superior-Cretácico Inferior?</t>
  </si>
  <si>
    <t xml:space="preserve">esquistos</t>
  </si>
  <si>
    <t xml:space="preserve">sin nombre (PK 16.383)</t>
  </si>
  <si>
    <t xml:space="preserve">T5</t>
  </si>
  <si>
    <t xml:space="preserve">n4n6-Hi</t>
  </si>
  <si>
    <t xml:space="preserve">Pórfidos dioríticos, granodioríticos y tonalíticos.</t>
  </si>
  <si>
    <t xml:space="preserve">Serravaliano-Mesiniano</t>
  </si>
  <si>
    <t xml:space="preserve">porfido</t>
  </si>
  <si>
    <t xml:space="preserve">—</t>
  </si>
  <si>
    <t xml:space="preserve">T6</t>
  </si>
  <si>
    <t xml:space="preserve">Falla de Palestina (PK 38.487); Falla de San Jerónimo (PK 42.424)</t>
  </si>
  <si>
    <t xml:space="preserve">T7</t>
  </si>
  <si>
    <t xml:space="preserve">b5k4-VCm</t>
  </si>
  <si>
    <t xml:space="preserve">Basaltos y andesitas intercalados con arenitas lodosas líticas, lodolitas carbonosas, arenitas feldespáticas, calizas y limolitas silíceas.</t>
  </si>
  <si>
    <t xml:space="preserve">Aptiano-Santoniano</t>
  </si>
  <si>
    <t xml:space="preserve">R3 + R4</t>
  </si>
  <si>
    <t xml:space="preserve">Falla de San Jerónimo (PK 42.424)</t>
  </si>
  <si>
    <t xml:space="preserve">Total</t>
  </si>
  <si>
    <t xml:space="preserve">Fuente: MGC 2023 (capas 733 y 704), consultado por el script; perfil del OE 1. La cobertura supera los 1.000 m en buena parte de los tramos T4-T6: allí el esfuerzo in situ, no solo la litología, decide el método (Act 2).</t>
  </si>
  <si>
    <t xml:space="preserve">Tabla 2. Juegos de parámetros del macizo rocoso por litología (mínimo / típico / máximo)</t>
  </si>
  <si>
    <t xml:space="preserve">R1-R4 se leen del Excel de la Act 3 del OE 3 (texto verde). Los demás: σci por resistencia de campo (HM00 tabla 1) [F→H], mi de HM00 tabla 2 [F], GSI [H].</t>
  </si>
  <si>
    <t xml:space="preserve">Juego</t>
  </si>
  <si>
    <t xml:space="preserve">Litología</t>
  </si>
  <si>
    <t xml:space="preserve">σci mín (MPa)</t>
  </si>
  <si>
    <t xml:space="preserve">σci típ</t>
  </si>
  <si>
    <t xml:space="preserve">σci máx</t>
  </si>
  <si>
    <t xml:space="preserve">mi mín</t>
  </si>
  <si>
    <t xml:space="preserve">mi típ</t>
  </si>
  <si>
    <t xml:space="preserve">mi máx</t>
  </si>
  <si>
    <t xml:space="preserve">GSI mín</t>
  </si>
  <si>
    <t xml:space="preserve">GSI típ</t>
  </si>
  <si>
    <t xml:space="preserve">GSI máx</t>
  </si>
  <si>
    <t xml:space="preserve">Origen</t>
  </si>
  <si>
    <t xml:space="preserve">Notas</t>
  </si>
  <si>
    <t xml:space="preserve">R1</t>
  </si>
  <si>
    <t xml:space="preserve">PCAn — Neises y Anfibolitas de Tierradentro — Neis cuarzo-feldespático-biotítico, meteorizado</t>
  </si>
  <si>
    <t xml:space="preserve">OE 3 Act 3 (hoja Roca)</t>
  </si>
  <si>
    <t xml:space="preserve">Ver notas por juego en la Act 3 del OE 3.</t>
  </si>
  <si>
    <t xml:space="preserve">Jcdi — Batolito de Ibagué — Granodiorita biotítico-hornbléndica</t>
  </si>
  <si>
    <t xml:space="preserve">Gneises cuarzofeldespáticos y anfibolitas (T-Mmg)</t>
  </si>
  <si>
    <t xml:space="preserve">HM00 tablas 1-2 [F] + GSI [H]</t>
  </si>
  <si>
    <t xml:space="preserve">Gneis y anfibolita: R5-R6 (100 a &gt; 250 MPa) en roca sana; reducido por foliación y fracturamiento [H]. Gneis 28 ± 5; anfibolitas 26 ± 6 (tabla 2). Foliado, fracturado; superficies regulares [H].</t>
  </si>
  <si>
    <t xml:space="preserve">Esquistos grafíticos, cuarzomoscovíticos y cloríticos; filitas (J3K1?-Mbg)</t>
  </si>
  <si>
    <t xml:space="preserve">Esquisto R3-R4 (25-100 MPa); el grafito y la sericita lo debilitan: mínimo 15 MPa [H]. Esquistos 12 ± 3; filitas 7 ± 3 (tabla 2); el mínimo toma la filita [H]. Foliado a laminado/cizallado (tabla 3/4 de Hoek y Marinos); análogo: RMR 50-85 del Complejo Cajamarca en La Línea (lectura cualitativa, Hoek no recomienda convertir RMR a GSI) [H].</t>
  </si>
  <si>
    <t xml:space="preserve">Pórfidos dioríticos, granodioríticos y tonalíticos (n4n6-Hi)</t>
  </si>
  <si>
    <t xml:space="preserve">Pórfido: roca ígnea hipoabisal R5 (100-250 MPa) [H]. Pórfidos (20 ± 5), tabla 2. Masivo a fracturado; en La Línea el pórfido andesítico dio RMR mayormente 50-80 (lectura de figura) [H].</t>
  </si>
  <si>
    <t xml:space="preserve">R3</t>
  </si>
  <si>
    <t xml:space="preserve">Kqs — Fm. Quebradagrande, miembro sedimentario — Grauvacas, lutitas, chert, calizas; localmente cataclasadas</t>
  </si>
  <si>
    <t xml:space="preserve">R4</t>
  </si>
  <si>
    <t xml:space="preserve">Kqv — Fm. Quebradagrande, miembro volcánico — Diabasas y andesitas; sectores de intensa cataclasis</t>
  </si>
  <si>
    <t xml:space="preserve">Zona de falla</t>
  </si>
  <si>
    <t xml:space="preserve">Zona de falla (roca cataclasada, brecha y salbanda)</t>
  </si>
  <si>
    <t xml:space="preserve">σci del tramo × 0.25</t>
  </si>
  <si>
    <t xml:space="preserve">[H] + análogo CP13</t>
  </si>
  <si>
    <t xml:space="preserve">Zona de falla: σci del tramo × 0,25 y GSI 10-25 [H]; en La Línea las fallas dieron RMR ≈ 20-40 (lectura de figura 4, Castro y Pérez 2013).</t>
  </si>
  <si>
    <t xml:space="preserve">Peso unitario del macizo para el esfuerzo in situ p0 = γ·H: 0.027 MN/m³ [H]. Estos juegos alimentan el índice de squeezing de la Act 2 (Hoek y Marinos, 2000).</t>
  </si>
  <si>
    <t xml:space="preserve">Tabla 3. Fallas cartografiadas que cortan el eje del túnel</t>
  </si>
  <si>
    <t xml:space="preserve">Ángulo de cruce entre la traza de la falla y el eje, medido sobre ±50 m [CP]. «Coincide» = otra cartografía corta el eje a menos de 300 m.</t>
  </si>
  <si>
    <t xml:space="preserve">Fuente</t>
  </si>
  <si>
    <t xml:space="preserve">PK (m)</t>
  </si>
  <si>
    <t xml:space="preserve">Nombre</t>
  </si>
  <si>
    <t xml:space="preserve">Tipo</t>
  </si>
  <si>
    <t xml:space="preserve">Ángulo de cruce (°)</t>
  </si>
  <si>
    <t xml:space="preserve">Coincide Atlas 2007</t>
  </si>
  <si>
    <t xml:space="preserve">Coincide Tolima</t>
  </si>
  <si>
    <t xml:space="preserve">Atlas 2007</t>
  </si>
  <si>
    <t xml:space="preserve">sin nombre</t>
  </si>
  <si>
    <t xml:space="preserve">MGC 2023</t>
  </si>
  <si>
    <t xml:space="preserve">Falla de Ibagué</t>
  </si>
  <si>
    <t xml:space="preserve">Falla de rumbo dextral</t>
  </si>
  <si>
    <t xml:space="preserve">Sí</t>
  </si>
  <si>
    <t xml:space="preserve">No</t>
  </si>
  <si>
    <t xml:space="preserve">Falla de Chapetón-Pericos</t>
  </si>
  <si>
    <t xml:space="preserve">Falla inversa o de cabalgamiento</t>
  </si>
  <si>
    <t xml:space="preserve">Falla de Palestina</t>
  </si>
  <si>
    <t xml:space="preserve">Falla</t>
  </si>
  <si>
    <t xml:space="preserve">Falla de San Jerónimo</t>
  </si>
  <si>
    <t xml:space="preserve">Tolima</t>
  </si>
  <si>
    <t xml:space="preserve">Tabla 4. Zona de influencia adoptada por falla y fracción del eje en zona de falla</t>
  </si>
  <si>
    <t xml:space="preserve">Caso</t>
  </si>
  <si>
    <t xml:space="preserve">Ancho por falla (m)</t>
  </si>
  <si>
    <t xml:space="preserve">Fallas MGC</t>
  </si>
  <si>
    <t xml:space="preserve">Longitud en falla (m)</t>
  </si>
  <si>
    <t xml:space="preserve">Referencia</t>
  </si>
  <si>
    <t xml:space="preserve">Mínimo</t>
  </si>
  <si>
    <t xml:space="preserve">Mín., media y máx. de los anchos de falla de La Línea (DAV15) [CP]</t>
  </si>
  <si>
    <t xml:space="preserve">Típico</t>
  </si>
  <si>
    <t xml:space="preserve">Máximo</t>
  </si>
  <si>
    <t xml:space="preserve">La Línea (medido)</t>
  </si>
  <si>
    <t xml:space="preserve">8 fallas en 8.562 m del túnel II Centenario (DAV15) [F→CP]</t>
  </si>
  <si>
    <t xml:space="preserve">Lectura: con solo las fallas del mapa 1:1.000.000 el eje tendría del orden de 1-6 % en zona de falla; el túnel de La Línea, en el mismo macizo, encontró un 33 %. La Act 2 usa las fallas cartografiadas y declara esta subestimación como sensibilidad.</t>
  </si>
  <si>
    <t xml:space="preserve">Tabla 5. Unidades cortadas por el eje según otras cartografías del SGC (para contrastar con el MGC 2023)</t>
  </si>
  <si>
    <t xml:space="preserve">Tolima y Quindío: el servicio no publica la leyenda de los códigos [DA]. Se listan para mostrar dónde hay mayor detalle y depósitos cuaternarios superficiales, que no alcanzan la rasante salvo cerca de los portales.</t>
  </si>
  <si>
    <t xml:space="preserve">Cartografía</t>
  </si>
  <si>
    <t xml:space="preserve">Código / símbolo</t>
  </si>
  <si>
    <t xml:space="preserve">MP3NP1-Mg2</t>
  </si>
  <si>
    <t xml:space="preserve">T3J-Pi</t>
  </si>
  <si>
    <t xml:space="preserve">NP?CA?-Ma2</t>
  </si>
  <si>
    <t xml:space="preserve">NP?CA?-Mev2</t>
  </si>
  <si>
    <t xml:space="preserve">Q-p</t>
  </si>
  <si>
    <t xml:space="preserve">Q2-vc</t>
  </si>
  <si>
    <t xml:space="preserve">K1-VCm</t>
  </si>
  <si>
    <t xml:space="preserve">PEnat</t>
  </si>
  <si>
    <t xml:space="preserve">Ji</t>
  </si>
  <si>
    <t xml:space="preserve">NgQp</t>
  </si>
  <si>
    <t xml:space="preserve">Pzes</t>
  </si>
  <si>
    <t xml:space="preserve">Pzev</t>
  </si>
  <si>
    <t xml:space="preserve">NgQac</t>
  </si>
  <si>
    <t xml:space="preserve">Kiq</t>
  </si>
  <si>
    <t xml:space="preserve">Quindío</t>
  </si>
  <si>
    <t xml:space="preserve">Ri1</t>
  </si>
  <si>
    <t xml:space="preserve">Stv1</t>
  </si>
  <si>
    <t xml:space="preserve">Strc1</t>
  </si>
  <si>
    <t xml:space="preserve">Tabla 6. Túnel piloto de La Línea: sectores geológicos encontrados (Castro y Pérez, 2013, tabla 2)</t>
  </si>
  <si>
    <t xml:space="preserve">Relación con el eje de la Ferropista [CP]: el Túnel de La Línea (OSM. 8.606 m) tiene un extremo a 18 m en planta del eje (PK 37.211) y el otro a 4.370 m (PK 44.636); ángulo entre ejes 30°. Está unos 1.000 m por encima de la rasante.</t>
  </si>
  <si>
    <t xml:space="preserve">Sector</t>
  </si>
  <si>
    <t xml:space="preserve">Unidad</t>
  </si>
  <si>
    <t xml:space="preserve">Litologías</t>
  </si>
  <si>
    <t xml:space="preserve">Abscisa inicio (m)</t>
  </si>
  <si>
    <t xml:space="preserve">Abscisa fin (m)</t>
  </si>
  <si>
    <t xml:space="preserve">A</t>
  </si>
  <si>
    <t xml:space="preserve">Suelo residual</t>
  </si>
  <si>
    <t xml:space="preserve">B</t>
  </si>
  <si>
    <t xml:space="preserve">Complejo Quebradagrande · miembro volcánico</t>
  </si>
  <si>
    <t xml:space="preserve">Diabasas</t>
  </si>
  <si>
    <t xml:space="preserve">C</t>
  </si>
  <si>
    <t xml:space="preserve">Falla Alaska</t>
  </si>
  <si>
    <t xml:space="preserve">Metadiabasas y lutitas</t>
  </si>
  <si>
    <t xml:space="preserve">D</t>
  </si>
  <si>
    <t xml:space="preserve">Quebradagrande · volcánico sedimentario</t>
  </si>
  <si>
    <t xml:space="preserve">Diabasas, chert, areniscas, lutitas</t>
  </si>
  <si>
    <t xml:space="preserve">E</t>
  </si>
  <si>
    <t xml:space="preserve">Falla El Viento</t>
  </si>
  <si>
    <t xml:space="preserve">Metapelitas oscuras grafitosas, cuarcitas y metadiabasas</t>
  </si>
  <si>
    <t xml:space="preserve">F</t>
  </si>
  <si>
    <t xml:space="preserve">G</t>
  </si>
  <si>
    <t xml:space="preserve">Quebradagrande · sedimentario volcánico</t>
  </si>
  <si>
    <t xml:space="preserve">Areniscas, areniscas conglomeráticas, diabasas, lutitas</t>
  </si>
  <si>
    <t xml:space="preserve">H</t>
  </si>
  <si>
    <t xml:space="preserve">Quebradagrande · metasedimentario</t>
  </si>
  <si>
    <t xml:space="preserve">Metalutitas, metalodolitas y metalimolitas</t>
  </si>
  <si>
    <t xml:space="preserve">I</t>
  </si>
  <si>
    <t xml:space="preserve">Falla La Vaca</t>
  </si>
  <si>
    <t xml:space="preserve">Lutitas, lodolitas y areniscas finas</t>
  </si>
  <si>
    <t xml:space="preserve">J</t>
  </si>
  <si>
    <t xml:space="preserve">K</t>
  </si>
  <si>
    <t xml:space="preserve">Miembro tectonizado · milonítico</t>
  </si>
  <si>
    <t xml:space="preserve">Esquistos verdes cuarzosericíticos, cuarcitas</t>
  </si>
  <si>
    <t xml:space="preserve">L</t>
  </si>
  <si>
    <t xml:space="preserve">Falla La Soledad</t>
  </si>
  <si>
    <t xml:space="preserve">M</t>
  </si>
  <si>
    <t xml:space="preserve">Gabros de La Línea</t>
  </si>
  <si>
    <t xml:space="preserve">Gabros, anfibolitas</t>
  </si>
  <si>
    <t xml:space="preserve">N</t>
  </si>
  <si>
    <t xml:space="preserve">Complejo Cajamarca</t>
  </si>
  <si>
    <t xml:space="preserve">Esquistos verdes, esquistos grises</t>
  </si>
  <si>
    <t xml:space="preserve">O</t>
  </si>
  <si>
    <t xml:space="preserve">Falla La Cristalina</t>
  </si>
  <si>
    <t xml:space="preserve">P</t>
  </si>
  <si>
    <t xml:space="preserve">Contacto pórfido andesítico / Cajamarca</t>
  </si>
  <si>
    <t xml:space="preserve">Pórfido con xenolitos de esquisto</t>
  </si>
  <si>
    <t xml:space="preserve">Q</t>
  </si>
  <si>
    <t xml:space="preserve">Pórfido andesítico</t>
  </si>
  <si>
    <t xml:space="preserve">Fuente: CP13 tabla 2 (abscisas desde el portal Quindío, túnel piloto de 8.554 m) [F].</t>
  </si>
  <si>
    <t xml:space="preserve">Tabla 7. Zonas de falla encontradas en el túnel II Centenario (Dávila, 2015)</t>
  </si>
  <si>
    <t xml:space="preserve">Longitud atravesada (m)</t>
  </si>
  <si>
    <t xml:space="preserve">La Gata</t>
  </si>
  <si>
    <t xml:space="preserve">Alaska</t>
  </si>
  <si>
    <t xml:space="preserve">El Viento</t>
  </si>
  <si>
    <t xml:space="preserve">La Vaca</t>
  </si>
  <si>
    <t xml:space="preserve">Campanario</t>
  </si>
  <si>
    <t xml:space="preserve">La Soledad</t>
  </si>
  <si>
    <t xml:space="preserve">Los Chorros</t>
  </si>
  <si>
    <t xml:space="preserve">La Cristalina</t>
  </si>
  <si>
    <t xml:space="preserve">Fracción del túnel</t>
  </si>
  <si>
    <t xml:space="preserve">Fuente: DAV15 [F]; total y fracción [CP]. Longitud del túnel II Centenario: 8.562 m (DAV15).</t>
  </si>
  <si>
    <t xml:space="preserve">Tabla 8. RMR observado en el túnel piloto (lectura de la figura 4 de Castro y Pérez, 2013)</t>
  </si>
  <si>
    <t xml:space="preserve">RMR (rango leído)</t>
  </si>
  <si>
    <t xml:space="preserve">Complejo Quebradagrande (K0-K4+3)</t>
  </si>
  <si>
    <t xml:space="preserve">25-80; mayoría 35-65</t>
  </si>
  <si>
    <t xml:space="preserve">Falla La Soledad (K4+3-K4+9)</t>
  </si>
  <si>
    <t xml:space="preserve">20-40</t>
  </si>
  <si>
    <t xml:space="preserve">Complejo Cajamarca y gabros (K4+9-K8)</t>
  </si>
  <si>
    <t xml:space="preserve">40-85; mayoría 60-80</t>
  </si>
  <si>
    <t xml:space="preserve">Fallas señaladas (Alaska, El Viento, La Vaca, La Cristalina)</t>
  </si>
  <si>
    <t xml:space="preserve">≈ 20-35</t>
  </si>
  <si>
    <t xml:space="preserve">Lectura visual sobre la imagen renderizada de la figura [F, lectura aproximada]. Hoek (cap. 11) desaconseja convertir RMR a GSI: se usa solo como contraste cualitativo.</t>
  </si>
  <si>
    <t xml:space="preserve">Tabla 9. Marcas de origen</t>
  </si>
  <si>
    <t xml:space="preserve">Marca</t>
  </si>
  <si>
    <t xml:space="preserve">Significado</t>
  </si>
  <si>
    <t xml:space="preserve">Dato de fuente publicada o de servicio oficial, leído en el original</t>
  </si>
  <si>
    <t xml:space="preserve">CP</t>
  </si>
  <si>
    <t xml:space="preserve">Cálculo propio, reproducible con el script citado</t>
  </si>
  <si>
    <t xml:space="preserve">Hipótesis del semillero, declarada; fondo amarillo</t>
  </si>
  <si>
    <t xml:space="preserve">DA</t>
  </si>
  <si>
    <t xml:space="preserve">Dato abierto identificado y pendiente de obtener</t>
  </si>
  <si>
    <t xml:space="preserve">Tabla 10. Fuentes citadas y consultas a servicios</t>
  </si>
  <si>
    <t xml:space="preserve">Clave</t>
  </si>
  <si>
    <t xml:space="preserve">Enlace / ruta</t>
  </si>
  <si>
    <t xml:space="preserve">MGC23</t>
  </si>
  <si>
    <t xml:space="preserve">Servicio Geológico Colombiano (2023). Mapa Geológico de Colombia, escala 1:1.000.000. Servicio ArcGIS REST, capas 733 (unidades) y 704 (fallas).</t>
  </si>
  <si>
    <t xml:space="preserve">https://srvags.sgc.gov.co/arcgis/rest/services/Mapa_Geologico_Colombia/Mapa_Geologico_Colombia_V2023/MapServer</t>
  </si>
  <si>
    <t xml:space="preserve">ATLAS07</t>
  </si>
  <si>
    <t xml:space="preserve">Gómez Tapias, J. et al. (2007). Atlas Geológico de Colombia, 1:500.000. SGC (INGEOMINAS). Servicio ArcGIS REST, capas 13 y 11.</t>
  </si>
  <si>
    <t xml:space="preserve">https://srvags.sgc.gov.co/arcgis/rest/services/Atlas_Geologico_Colombiano/Atlas_Geologico_Colombia/MapServer</t>
  </si>
  <si>
    <t xml:space="preserve">TOL</t>
  </si>
  <si>
    <t xml:space="preserve">SGC. Geología del departamento del Tolima (servicio «Geología por departamentos», capas 188 y 187). Códigos sin leyenda en el servicio [DA].</t>
  </si>
  <si>
    <t xml:space="preserve">https://srvags.sgc.gov.co/arcgis/rest/services/Geologia/Geologia_Por_Departamentos/MapServer</t>
  </si>
  <si>
    <t xml:space="preserve">QUI</t>
  </si>
  <si>
    <t xml:space="preserve">SGC. Geología del departamento del Quindío (servicio «Geomecánica del Quindío», capa 19). Códigos sin leyenda en el servicio [DA].</t>
  </si>
  <si>
    <t xml:space="preserve">https://srvags.sgc.gov.co/arcgis/rest/services/Geomecanica_Por_Regiones/Geomecanica_del_Departamento_del_Quindio/MapServer</t>
  </si>
  <si>
    <t xml:space="preserve">HM00</t>
  </si>
  <si>
    <t xml:space="preserve">Hoek, E. y Marinos, P. (2000). Predicting tunnel squeezing problems in weak heterogeneous rock masses. Tunnels and Tunnelling International. Tablas 1 y 2, ec. 1-2.</t>
  </si>
  <si>
    <t xml:space="preserve">https://static.rocscience.cloud/assets/resources/learning/hoek/Predicting-Tunnel-Squeezing-Problems-in-Weak-Heterogeneous-Rock-Masses-2000.pdf</t>
  </si>
  <si>
    <t xml:space="preserve">CP13</t>
  </si>
  <si>
    <t xml:space="preserve">Castro Caicedo, Á. J. y Pérez Pérez, D. M. (2013). Correlaciones entre las clasificaciones geomecánicas Q y RMR en el túnel exploratorio de «La Línea». Boletín de Ciencias de la Tierra 34, 42-50. Tabla 2 y figura 4.</t>
  </si>
  <si>
    <t xml:space="preserve">https://www.redalyc.org/pdf/1695/169530075005.pdf</t>
  </si>
  <si>
    <t xml:space="preserve">DAV15</t>
  </si>
  <si>
    <t xml:space="preserve">Dávila, H. (2015). Túnel II Centenario, terrenos encontrados y su análisis de comportamiento en el corto y largo plazo. 5ª Jornadas AATES; Revista Vial, 25 nov 2015. Tabla de fallas.</t>
  </si>
  <si>
    <t xml:space="preserve">https://revistavial.com/tunel-ii-centenario-terrenos-encontrados-y-su-analisis-de-comportamiento-en-el-corto-y-largo-plazo/</t>
  </si>
  <si>
    <t xml:space="preserve">ACT3</t>
  </si>
  <si>
    <t xml:space="preserve">Semillero GEOPAV (2026). Cuadro de parámetros adoptados, OE 3 Act 3 (juegos R1-R4, hoja «Roca»).</t>
  </si>
  <si>
    <t xml:space="preserve">OE3_Geotecnia/Act3_Parametros/Cuadro_parametros_adoptados_OE3.xlsx</t>
  </si>
  <si>
    <t xml:space="preserve">OE1</t>
  </si>
  <si>
    <t xml:space="preserve">Semillero GEOPAV (2026). Trazado y perfil del túnel, OE 1 (trazado_tunel.geojson, perfil_continuo.csv).</t>
  </si>
  <si>
    <t xml:space="preserve">OE1_Topografia/</t>
  </si>
  <si>
    <t xml:space="preserve">OSM</t>
  </si>
  <si>
    <t xml:space="preserve">Vía actual Ruta 40 y Túnel de La Línea según OpenStreetMap (© colaboradores de OSM, ODbL), extraída por via_actual_ruta40.py.</t>
  </si>
  <si>
    <t xml:space="preserve">OE2_Plataforma/Act2_Visor/via_actual_ruta40.geojson</t>
  </si>
  <si>
    <t xml:space="preserve">Consulta mgc_uc: https://srvags.sgc.gov.co/arcgis/rest/services/Mapa_Geologico_Colombia/Mapa_Geologico_Colombia_V2023/MapServer/733 · 2026-09-29</t>
  </si>
  <si>
    <t xml:space="preserve">Consulta mgc_fallas: https://srvags.sgc.gov.co/arcgis/rest/services/Mapa_Geologico_Colombia/Mapa_Geologico_Colombia_V2023/MapServer/704 · 2026-09-29</t>
  </si>
  <si>
    <t xml:space="preserve">Consulta atlas_uc: https://srvags.sgc.gov.co/arcgis/rest/services/Atlas_Geologico_Colombiano/Atlas_Geologico_Colombia/MapServer/13 · 2026-09-29</t>
  </si>
  <si>
    <t xml:space="preserve">Consulta atlas_fallas: https://srvags.sgc.gov.co/arcgis/rest/services/Atlas_Geologico_Colombiano/Atlas_Geologico_Colombia/MapServer/11 · 2026-09-29</t>
  </si>
  <si>
    <t xml:space="preserve">Consulta tol_uc: https://srvags.sgc.gov.co/arcgis/rest/services/Geologia/Geologia_Por_Departamentos/MapServer/188 · 2026-09-29</t>
  </si>
  <si>
    <t xml:space="preserve">Consulta tol_fallas: https://srvags.sgc.gov.co/arcgis/rest/services/Geologia/Geologia_Por_Departamentos/MapServer/187 · 2026-09-29</t>
  </si>
  <si>
    <t xml:space="preserve">Consulta qui_uc: https://srvags.sgc.gov.co/arcgis/rest/services/Geomecanica_Por_Regiones/Geomecanica_del_Departamento_del_Quindio/MapServer/19 · 2026-09-29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</si>
</sst>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8E2C"/>
      <name val="Arial"/>
      <family val="0"/>
      <charset val="1"/>
    </font>
    <font>
      <sz val="12"/>
      <color rgb="FF193F77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A3412"/>
      <name val="Arial"/>
      <family val="0"/>
      <charset val="1"/>
    </font>
    <font>
      <b val="true"/>
      <sz val="12"/>
      <color rgb="FF193F77"/>
      <name val="Arial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13"/>
      <color rgb="FF193F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9A34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93F77"/>
        <bgColor rgb="FF333399"/>
      </patternFill>
    </fill>
    <fill>
      <patternFill patternType="solid">
        <fgColor rgb="FFE8F3EA"/>
        <bgColor rgb="FFFFF7D6"/>
      </patternFill>
    </fill>
    <fill>
      <patternFill patternType="solid">
        <fgColor rgb="FFFFF7D6"/>
        <bgColor rgb="FFE8F3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E8F3EA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93F77"/>
      <rgbColor rgb="FF178E2C"/>
      <rgbColor rgb="FF003300"/>
      <rgbColor rgb="FF333300"/>
      <rgbColor rgb="FF9A34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794160</xdr:colOff>
      <xdr:row>4</xdr:row>
      <xdr:rowOff>94680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11320" y="190440"/>
          <a:ext cx="248580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666360</xdr:colOff>
      <xdr:row>4</xdr:row>
      <xdr:rowOff>94680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6555240" y="190440"/>
          <a:ext cx="666360" cy="666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8:G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7" min="3" style="0" width="22"/>
    <col collapsed="false" customWidth="true" hidden="false" outlineLevel="0" max="8" min="8" style="0" width="3"/>
  </cols>
  <sheetData>
    <row r="8" customFormat="false" ht="22.05" hidden="false" customHeight="false" outlineLevel="0" collapsed="false">
      <c r="B8" s="1" t="s">
        <v>0</v>
      </c>
    </row>
    <row r="9" customFormat="false" ht="15" hidden="false" customHeight="false" outlineLevel="0" collapsed="false">
      <c r="B9" s="2" t="s">
        <v>1</v>
      </c>
    </row>
    <row r="11" customFormat="false" ht="57.75" hidden="false" customHeight="true" outlineLevel="0" collapsed="false">
      <c r="B11" s="3" t="s">
        <v>2</v>
      </c>
      <c r="C11" s="4" t="s">
        <v>3</v>
      </c>
      <c r="D11" s="4"/>
      <c r="E11" s="4"/>
      <c r="F11" s="4"/>
      <c r="G11" s="4"/>
    </row>
    <row r="12" customFormat="false" ht="30" hidden="false" customHeight="true" outlineLevel="0" collapsed="false">
      <c r="B12" s="3" t="s">
        <v>4</v>
      </c>
      <c r="C12" s="4" t="s">
        <v>5</v>
      </c>
      <c r="D12" s="4"/>
      <c r="E12" s="4"/>
      <c r="F12" s="4"/>
      <c r="G12" s="4"/>
    </row>
    <row r="13" customFormat="false" ht="30" hidden="false" customHeight="true" outlineLevel="0" collapsed="false">
      <c r="B13" s="3" t="s">
        <v>6</v>
      </c>
      <c r="C13" s="4" t="s">
        <v>7</v>
      </c>
      <c r="D13" s="4"/>
      <c r="E13" s="4"/>
      <c r="F13" s="4"/>
      <c r="G13" s="4"/>
    </row>
    <row r="14" customFormat="false" ht="30" hidden="false" customHeight="true" outlineLevel="0" collapsed="false">
      <c r="B14" s="3" t="s">
        <v>8</v>
      </c>
      <c r="C14" s="4" t="s">
        <v>9</v>
      </c>
      <c r="D14" s="4"/>
      <c r="E14" s="4"/>
      <c r="F14" s="4"/>
      <c r="G14" s="4"/>
    </row>
    <row r="15" customFormat="false" ht="30" hidden="false" customHeight="true" outlineLevel="0" collapsed="false">
      <c r="B15" s="3" t="s">
        <v>10</v>
      </c>
      <c r="C15" s="4" t="s">
        <v>11</v>
      </c>
      <c r="D15" s="4"/>
      <c r="E15" s="4"/>
      <c r="F15" s="4"/>
      <c r="G15" s="4"/>
    </row>
    <row r="16" customFormat="false" ht="30" hidden="false" customHeight="true" outlineLevel="0" collapsed="false">
      <c r="B16" s="3" t="s">
        <v>12</v>
      </c>
      <c r="C16" s="4" t="s">
        <v>13</v>
      </c>
      <c r="D16" s="4"/>
      <c r="E16" s="4"/>
      <c r="F16" s="4"/>
      <c r="G16" s="4"/>
    </row>
    <row r="17" customFormat="false" ht="30" hidden="false" customHeight="true" outlineLevel="0" collapsed="false">
      <c r="B17" s="3" t="s">
        <v>14</v>
      </c>
      <c r="C17" s="4" t="s">
        <v>15</v>
      </c>
      <c r="D17" s="4"/>
      <c r="E17" s="4"/>
      <c r="F17" s="4"/>
      <c r="G17" s="4"/>
    </row>
    <row r="18" customFormat="false" ht="30" hidden="false" customHeight="true" outlineLevel="0" collapsed="false">
      <c r="B18" s="3" t="s">
        <v>16</v>
      </c>
      <c r="C18" s="4" t="s">
        <v>17</v>
      </c>
      <c r="D18" s="4"/>
      <c r="E18" s="4"/>
      <c r="F18" s="4"/>
      <c r="G18" s="4"/>
    </row>
    <row r="19" customFormat="false" ht="57.75" hidden="false" customHeight="true" outlineLevel="0" collapsed="false">
      <c r="B19" s="3" t="s">
        <v>18</v>
      </c>
      <c r="C19" s="5" t="s">
        <v>19</v>
      </c>
      <c r="D19" s="5"/>
      <c r="E19" s="5"/>
      <c r="F19" s="5"/>
      <c r="G19" s="5"/>
    </row>
    <row r="21" customFormat="false" ht="15" hidden="false" customHeight="false" outlineLevel="0" collapsed="false">
      <c r="B21" s="6" t="s">
        <v>20</v>
      </c>
    </row>
    <row r="22" customFormat="false" ht="15" hidden="false" customHeight="false" outlineLevel="0" collapsed="false">
      <c r="B22" s="7" t="s">
        <v>21</v>
      </c>
      <c r="C22" s="8" t="s">
        <v>22</v>
      </c>
      <c r="D22" s="8"/>
      <c r="E22" s="8"/>
      <c r="F22" s="8"/>
      <c r="G22" s="8"/>
    </row>
    <row r="23" customFormat="false" ht="15" hidden="false" customHeight="false" outlineLevel="0" collapsed="false">
      <c r="B23" s="7" t="s">
        <v>23</v>
      </c>
      <c r="C23" s="8" t="s">
        <v>24</v>
      </c>
      <c r="D23" s="8"/>
      <c r="E23" s="8"/>
      <c r="F23" s="8"/>
      <c r="G23" s="8"/>
    </row>
    <row r="24" customFormat="false" ht="15" hidden="false" customHeight="false" outlineLevel="0" collapsed="false">
      <c r="B24" s="7" t="s">
        <v>25</v>
      </c>
      <c r="C24" s="8" t="s">
        <v>26</v>
      </c>
      <c r="D24" s="8"/>
      <c r="E24" s="8"/>
      <c r="F24" s="8"/>
      <c r="G24" s="8"/>
    </row>
    <row r="25" customFormat="false" ht="15" hidden="false" customHeight="false" outlineLevel="0" collapsed="false">
      <c r="B25" s="7" t="s">
        <v>27</v>
      </c>
      <c r="C25" s="8" t="s">
        <v>28</v>
      </c>
      <c r="D25" s="8"/>
      <c r="E25" s="8"/>
      <c r="F25" s="8"/>
      <c r="G25" s="8"/>
    </row>
    <row r="26" customFormat="false" ht="15" hidden="false" customHeight="false" outlineLevel="0" collapsed="false">
      <c r="B26" s="7" t="s">
        <v>29</v>
      </c>
      <c r="C26" s="8" t="s">
        <v>30</v>
      </c>
      <c r="D26" s="8"/>
      <c r="E26" s="8"/>
      <c r="F26" s="8"/>
      <c r="G26" s="8"/>
    </row>
    <row r="27" customFormat="false" ht="15" hidden="false" customHeight="false" outlineLevel="0" collapsed="false">
      <c r="B27" s="7" t="s">
        <v>31</v>
      </c>
      <c r="C27" s="8" t="s">
        <v>32</v>
      </c>
      <c r="D27" s="8"/>
      <c r="E27" s="8"/>
      <c r="F27" s="8"/>
      <c r="G27" s="8"/>
    </row>
    <row r="29" customFormat="false" ht="15" hidden="false" customHeight="true" outlineLevel="0" collapsed="false">
      <c r="B29" s="9" t="s">
        <v>33</v>
      </c>
      <c r="C29" s="9"/>
      <c r="D29" s="9"/>
      <c r="E29" s="9"/>
      <c r="F29" s="9"/>
      <c r="G29" s="9"/>
    </row>
    <row r="30" customFormat="false" ht="15" hidden="false" customHeight="false" outlineLevel="0" collapsed="false">
      <c r="B30" s="9"/>
      <c r="C30" s="9"/>
      <c r="D30" s="9"/>
      <c r="E30" s="9"/>
      <c r="F30" s="9"/>
      <c r="G30" s="9"/>
    </row>
    <row r="31" customFormat="false" ht="15" hidden="false" customHeight="false" outlineLevel="0" collapsed="false">
      <c r="B31" s="9"/>
      <c r="C31" s="9"/>
      <c r="D31" s="9"/>
      <c r="E31" s="9"/>
      <c r="F31" s="9"/>
      <c r="G31" s="9"/>
    </row>
    <row r="32" customFormat="false" ht="15" hidden="false" customHeight="false" outlineLevel="0" collapsed="false">
      <c r="B32" s="9"/>
      <c r="C32" s="9"/>
      <c r="D32" s="9"/>
      <c r="E32" s="9"/>
      <c r="F32" s="9"/>
      <c r="G32" s="9"/>
    </row>
  </sheetData>
  <mergeCells count="16">
    <mergeCell ref="C11:G11"/>
    <mergeCell ref="C12:G12"/>
    <mergeCell ref="C13:G13"/>
    <mergeCell ref="C14:G14"/>
    <mergeCell ref="C15:G15"/>
    <mergeCell ref="C16:G16"/>
    <mergeCell ref="C17:G17"/>
    <mergeCell ref="C18:G18"/>
    <mergeCell ref="C19:G19"/>
    <mergeCell ref="C22:G22"/>
    <mergeCell ref="C23:G23"/>
    <mergeCell ref="C24:G24"/>
    <mergeCell ref="C25:G25"/>
    <mergeCell ref="C26:G26"/>
    <mergeCell ref="C27:G27"/>
    <mergeCell ref="B29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4" min="2" style="0" width="11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50"/>
    <col collapsed="false" customWidth="true" hidden="false" outlineLevel="0" max="8" min="8" style="0" width="20"/>
    <col collapsed="false" customWidth="true" hidden="false" outlineLevel="0" max="11" min="9" style="0" width="11"/>
    <col collapsed="false" customWidth="true" hidden="false" outlineLevel="0" max="12" min="12" style="0" width="18"/>
    <col collapsed="false" customWidth="true" hidden="false" outlineLevel="0" max="13" min="13" style="0" width="34"/>
  </cols>
  <sheetData>
    <row r="1" customFormat="false" ht="16.15" hidden="false" customHeight="false" outlineLevel="0" collapsed="false">
      <c r="A1" s="10" t="s">
        <v>34</v>
      </c>
    </row>
    <row r="2" customFormat="false" ht="15" hidden="false" customHeight="false" outlineLevel="0" collapsed="false">
      <c r="A2" s="11" t="s">
        <v>35</v>
      </c>
    </row>
    <row r="4" customFormat="false" ht="39.75" hidden="false" customHeight="true" outlineLevel="0" collapsed="false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  <c r="J4" s="12" t="s">
        <v>45</v>
      </c>
      <c r="K4" s="12" t="s">
        <v>46</v>
      </c>
      <c r="L4" s="12" t="s">
        <v>47</v>
      </c>
      <c r="M4" s="12" t="s">
        <v>48</v>
      </c>
    </row>
    <row r="5" customFormat="false" ht="43.5" hidden="false" customHeight="true" outlineLevel="0" collapsed="false">
      <c r="A5" s="13" t="s">
        <v>49</v>
      </c>
      <c r="B5" s="14" t="n">
        <v>0</v>
      </c>
      <c r="C5" s="14" t="n">
        <v>13111.3321179791</v>
      </c>
      <c r="D5" s="14" t="n">
        <f aca="false">C5-B5</f>
        <v>13111.3321179791</v>
      </c>
      <c r="E5" s="15" t="n">
        <f aca="false">D5/52226.4</f>
        <v>0.251047977995402</v>
      </c>
      <c r="F5" s="16" t="s">
        <v>50</v>
      </c>
      <c r="G5" s="17" t="s">
        <v>51</v>
      </c>
      <c r="H5" s="16" t="s">
        <v>52</v>
      </c>
      <c r="I5" s="14" t="n">
        <v>0</v>
      </c>
      <c r="J5" s="14" t="n">
        <v>347.943766578249</v>
      </c>
      <c r="K5" s="14" t="n">
        <v>756</v>
      </c>
      <c r="L5" s="16" t="s">
        <v>53</v>
      </c>
      <c r="M5" s="17" t="s">
        <v>54</v>
      </c>
    </row>
    <row r="6" customFormat="false" ht="43.5" hidden="false" customHeight="true" outlineLevel="0" collapsed="false">
      <c r="A6" s="13" t="s">
        <v>55</v>
      </c>
      <c r="B6" s="14" t="n">
        <v>13111.3321179791</v>
      </c>
      <c r="C6" s="14" t="n">
        <v>15234.7173522967</v>
      </c>
      <c r="D6" s="14" t="n">
        <f aca="false">C6-B6</f>
        <v>2123.38523431765</v>
      </c>
      <c r="E6" s="15" t="n">
        <f aca="false">D6/52226.4</f>
        <v>0.0406573157314625</v>
      </c>
      <c r="F6" s="16" t="s">
        <v>56</v>
      </c>
      <c r="G6" s="17" t="s">
        <v>51</v>
      </c>
      <c r="H6" s="16" t="s">
        <v>57</v>
      </c>
      <c r="I6" s="14" t="n">
        <v>166</v>
      </c>
      <c r="J6" s="14" t="n">
        <v>436.872131147541</v>
      </c>
      <c r="K6" s="14" t="n">
        <v>675.7</v>
      </c>
      <c r="L6" s="16" t="s">
        <v>58</v>
      </c>
      <c r="M6" s="17" t="s">
        <v>59</v>
      </c>
    </row>
    <row r="7" customFormat="false" ht="43.5" hidden="false" customHeight="true" outlineLevel="0" collapsed="false">
      <c r="A7" s="13" t="s">
        <v>60</v>
      </c>
      <c r="B7" s="14" t="n">
        <v>15234.7173522967</v>
      </c>
      <c r="C7" s="14" t="n">
        <v>16382.5370524141</v>
      </c>
      <c r="D7" s="14" t="n">
        <f aca="false">C7-B7</f>
        <v>1147.81970011738</v>
      </c>
      <c r="E7" s="15" t="n">
        <f aca="false">D7/52226.4</f>
        <v>0.0219777679510244</v>
      </c>
      <c r="F7" s="16" t="s">
        <v>61</v>
      </c>
      <c r="G7" s="17" t="s">
        <v>62</v>
      </c>
      <c r="H7" s="16" t="s">
        <v>63</v>
      </c>
      <c r="I7" s="14" t="n">
        <v>681.4</v>
      </c>
      <c r="J7" s="14" t="n">
        <v>782</v>
      </c>
      <c r="K7" s="14" t="n">
        <v>828.5</v>
      </c>
      <c r="L7" s="16" t="s">
        <v>64</v>
      </c>
      <c r="M7" s="17" t="s">
        <v>65</v>
      </c>
    </row>
    <row r="8" customFormat="false" ht="43.5" hidden="false" customHeight="true" outlineLevel="0" collapsed="false">
      <c r="A8" s="13" t="s">
        <v>66</v>
      </c>
      <c r="B8" s="14" t="n">
        <v>16382.5370524141</v>
      </c>
      <c r="C8" s="14" t="n">
        <v>36739.9180730767</v>
      </c>
      <c r="D8" s="14" t="n">
        <f aca="false">C8-B8</f>
        <v>20357.3810206626</v>
      </c>
      <c r="E8" s="15" t="n">
        <f aca="false">D8/52226.4</f>
        <v>0.38979100647685</v>
      </c>
      <c r="F8" s="16" t="s">
        <v>67</v>
      </c>
      <c r="G8" s="17" t="s">
        <v>68</v>
      </c>
      <c r="H8" s="16" t="s">
        <v>69</v>
      </c>
      <c r="I8" s="14" t="n">
        <v>504.8</v>
      </c>
      <c r="J8" s="14" t="n">
        <v>926.428938356164</v>
      </c>
      <c r="K8" s="14" t="n">
        <v>1371.3</v>
      </c>
      <c r="L8" s="16" t="s">
        <v>70</v>
      </c>
      <c r="M8" s="17" t="s">
        <v>71</v>
      </c>
    </row>
    <row r="9" customFormat="false" ht="43.5" hidden="false" customHeight="true" outlineLevel="0" collapsed="false">
      <c r="A9" s="13" t="s">
        <v>72</v>
      </c>
      <c r="B9" s="14" t="n">
        <v>36739.9180730767</v>
      </c>
      <c r="C9" s="14" t="n">
        <v>38234.7628082388</v>
      </c>
      <c r="D9" s="14" t="n">
        <f aca="false">C9-B9</f>
        <v>1494.84473516214</v>
      </c>
      <c r="E9" s="15" t="n">
        <f aca="false">D9/52226.4</f>
        <v>0.0286223966262683</v>
      </c>
      <c r="F9" s="16" t="s">
        <v>73</v>
      </c>
      <c r="G9" s="17" t="s">
        <v>74</v>
      </c>
      <c r="H9" s="16" t="s">
        <v>75</v>
      </c>
      <c r="I9" s="14" t="n">
        <v>1197</v>
      </c>
      <c r="J9" s="14" t="n">
        <v>1283.47209302326</v>
      </c>
      <c r="K9" s="14" t="n">
        <v>1374.2</v>
      </c>
      <c r="L9" s="16" t="s">
        <v>76</v>
      </c>
      <c r="M9" s="17" t="s">
        <v>77</v>
      </c>
    </row>
    <row r="10" customFormat="false" ht="43.5" hidden="false" customHeight="true" outlineLevel="0" collapsed="false">
      <c r="A10" s="13" t="s">
        <v>78</v>
      </c>
      <c r="B10" s="14" t="n">
        <v>38234.7628082388</v>
      </c>
      <c r="C10" s="14" t="n">
        <v>42424.2741349041</v>
      </c>
      <c r="D10" s="14" t="n">
        <f aca="false">C10-B10</f>
        <v>4189.51132666531</v>
      </c>
      <c r="E10" s="15" t="n">
        <f aca="false">D10/52226.4</f>
        <v>0.080218267517296</v>
      </c>
      <c r="F10" s="16" t="s">
        <v>67</v>
      </c>
      <c r="G10" s="17" t="s">
        <v>68</v>
      </c>
      <c r="H10" s="16" t="s">
        <v>69</v>
      </c>
      <c r="I10" s="14" t="n">
        <v>1327.3</v>
      </c>
      <c r="J10" s="14" t="n">
        <v>1620.34666666667</v>
      </c>
      <c r="K10" s="14" t="n">
        <v>1877.3</v>
      </c>
      <c r="L10" s="16" t="s">
        <v>70</v>
      </c>
      <c r="M10" s="17" t="s">
        <v>79</v>
      </c>
    </row>
    <row r="11" customFormat="false" ht="43.5" hidden="false" customHeight="true" outlineLevel="0" collapsed="false">
      <c r="A11" s="13" t="s">
        <v>80</v>
      </c>
      <c r="B11" s="14" t="n">
        <v>42424.2741349041</v>
      </c>
      <c r="C11" s="14" t="n">
        <v>52226.3845184093</v>
      </c>
      <c r="D11" s="14" t="n">
        <f aca="false">C11-B11</f>
        <v>9802.11038350519</v>
      </c>
      <c r="E11" s="15" t="n">
        <f aca="false">D11/52226.4</f>
        <v>0.187684971269419</v>
      </c>
      <c r="F11" s="16" t="s">
        <v>81</v>
      </c>
      <c r="G11" s="17" t="s">
        <v>82</v>
      </c>
      <c r="H11" s="16" t="s">
        <v>83</v>
      </c>
      <c r="I11" s="14" t="n">
        <v>0</v>
      </c>
      <c r="J11" s="14" t="n">
        <v>1014.42234042553</v>
      </c>
      <c r="K11" s="14" t="n">
        <v>2031.4</v>
      </c>
      <c r="L11" s="16" t="s">
        <v>84</v>
      </c>
      <c r="M11" s="17" t="s">
        <v>85</v>
      </c>
    </row>
    <row r="12" customFormat="false" ht="15" hidden="false" customHeight="false" outlineLevel="0" collapsed="false">
      <c r="A12" s="13" t="s">
        <v>86</v>
      </c>
      <c r="D12" s="18" t="n">
        <f aca="false">SUM(D5:D11)</f>
        <v>52226.3845184093</v>
      </c>
      <c r="E12" s="19" t="n">
        <f aca="false">SUM(E5:E11)</f>
        <v>0.999999703567722</v>
      </c>
    </row>
    <row r="14" customFormat="false" ht="15" hidden="false" customHeight="false" outlineLevel="0" collapsed="false">
      <c r="A14" s="11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5" min="4" style="0" width="9"/>
    <col collapsed="false" customWidth="true" hidden="false" outlineLevel="0" max="11" min="6" style="0" width="8"/>
    <col collapsed="false" customWidth="true" hidden="false" outlineLevel="0" max="12" min="12" style="0" width="24"/>
    <col collapsed="false" customWidth="true" hidden="false" outlineLevel="0" max="13" min="13" style="0" width="70"/>
  </cols>
  <sheetData>
    <row r="1" customFormat="false" ht="16.15" hidden="false" customHeight="false" outlineLevel="0" collapsed="false">
      <c r="A1" s="10" t="s">
        <v>88</v>
      </c>
    </row>
    <row r="2" customFormat="false" ht="15" hidden="false" customHeight="false" outlineLevel="0" collapsed="false">
      <c r="A2" s="11" t="s">
        <v>89</v>
      </c>
    </row>
    <row r="4" customFormat="false" ht="39.75" hidden="false" customHeight="true" outlineLevel="0" collapsed="false">
      <c r="A4" s="12" t="s">
        <v>90</v>
      </c>
      <c r="B4" s="12" t="s">
        <v>91</v>
      </c>
      <c r="C4" s="12" t="s">
        <v>92</v>
      </c>
      <c r="D4" s="12" t="s">
        <v>93</v>
      </c>
      <c r="E4" s="12" t="s">
        <v>94</v>
      </c>
      <c r="F4" s="12" t="s">
        <v>95</v>
      </c>
      <c r="G4" s="12" t="s">
        <v>96</v>
      </c>
      <c r="H4" s="12" t="s">
        <v>97</v>
      </c>
      <c r="I4" s="12" t="s">
        <v>98</v>
      </c>
      <c r="J4" s="12" t="s">
        <v>99</v>
      </c>
      <c r="K4" s="12" t="s">
        <v>100</v>
      </c>
      <c r="L4" s="12" t="s">
        <v>101</v>
      </c>
      <c r="M4" s="12" t="s">
        <v>102</v>
      </c>
    </row>
    <row r="5" customFormat="false" ht="54" hidden="false" customHeight="true" outlineLevel="0" collapsed="false">
      <c r="A5" s="13" t="s">
        <v>103</v>
      </c>
      <c r="B5" s="17" t="s">
        <v>104</v>
      </c>
      <c r="C5" s="20" t="n">
        <v>25</v>
      </c>
      <c r="D5" s="20" t="n">
        <v>60</v>
      </c>
      <c r="E5" s="20" t="n">
        <v>100</v>
      </c>
      <c r="F5" s="20" t="n">
        <v>23</v>
      </c>
      <c r="G5" s="20" t="n">
        <v>28</v>
      </c>
      <c r="H5" s="20" t="n">
        <v>33</v>
      </c>
      <c r="I5" s="20" t="n">
        <v>30</v>
      </c>
      <c r="J5" s="20" t="n">
        <v>42</v>
      </c>
      <c r="K5" s="20" t="n">
        <v>55</v>
      </c>
      <c r="L5" s="16" t="s">
        <v>105</v>
      </c>
      <c r="M5" s="17" t="s">
        <v>106</v>
      </c>
    </row>
    <row r="6" customFormat="false" ht="54" hidden="false" customHeight="true" outlineLevel="0" collapsed="false">
      <c r="A6" s="13" t="s">
        <v>58</v>
      </c>
      <c r="B6" s="17" t="s">
        <v>107</v>
      </c>
      <c r="C6" s="20" t="n">
        <v>25</v>
      </c>
      <c r="D6" s="20" t="n">
        <v>80</v>
      </c>
      <c r="E6" s="20" t="n">
        <v>150</v>
      </c>
      <c r="F6" s="20" t="n">
        <v>26</v>
      </c>
      <c r="G6" s="20" t="n">
        <v>29</v>
      </c>
      <c r="H6" s="20" t="n">
        <v>32</v>
      </c>
      <c r="I6" s="20" t="n">
        <v>35</v>
      </c>
      <c r="J6" s="20" t="n">
        <v>48</v>
      </c>
      <c r="K6" s="20" t="n">
        <v>60</v>
      </c>
      <c r="L6" s="16" t="s">
        <v>105</v>
      </c>
      <c r="M6" s="17" t="s">
        <v>106</v>
      </c>
    </row>
    <row r="7" customFormat="false" ht="54" hidden="false" customHeight="true" outlineLevel="0" collapsed="false">
      <c r="A7" s="13" t="s">
        <v>64</v>
      </c>
      <c r="B7" s="17" t="s">
        <v>108</v>
      </c>
      <c r="C7" s="21" t="n">
        <v>50</v>
      </c>
      <c r="D7" s="21" t="n">
        <v>100</v>
      </c>
      <c r="E7" s="21" t="n">
        <v>180</v>
      </c>
      <c r="F7" s="22" t="n">
        <v>21</v>
      </c>
      <c r="G7" s="22" t="n">
        <v>27</v>
      </c>
      <c r="H7" s="22" t="n">
        <v>33</v>
      </c>
      <c r="I7" s="21" t="n">
        <v>35</v>
      </c>
      <c r="J7" s="21" t="n">
        <v>50</v>
      </c>
      <c r="K7" s="21" t="n">
        <v>65</v>
      </c>
      <c r="L7" s="16" t="s">
        <v>109</v>
      </c>
      <c r="M7" s="17" t="s">
        <v>110</v>
      </c>
    </row>
    <row r="8" customFormat="false" ht="54" hidden="false" customHeight="true" outlineLevel="0" collapsed="false">
      <c r="A8" s="13" t="s">
        <v>70</v>
      </c>
      <c r="B8" s="17" t="s">
        <v>111</v>
      </c>
      <c r="C8" s="21" t="n">
        <v>15</v>
      </c>
      <c r="D8" s="21" t="n">
        <v>40</v>
      </c>
      <c r="E8" s="21" t="n">
        <v>80</v>
      </c>
      <c r="F8" s="22" t="n">
        <v>7</v>
      </c>
      <c r="G8" s="22" t="n">
        <v>12</v>
      </c>
      <c r="H8" s="22" t="n">
        <v>15</v>
      </c>
      <c r="I8" s="21" t="n">
        <v>20</v>
      </c>
      <c r="J8" s="21" t="n">
        <v>35</v>
      </c>
      <c r="K8" s="21" t="n">
        <v>55</v>
      </c>
      <c r="L8" s="16" t="s">
        <v>109</v>
      </c>
      <c r="M8" s="17" t="s">
        <v>112</v>
      </c>
    </row>
    <row r="9" customFormat="false" ht="54" hidden="false" customHeight="true" outlineLevel="0" collapsed="false">
      <c r="A9" s="13" t="s">
        <v>76</v>
      </c>
      <c r="B9" s="17" t="s">
        <v>113</v>
      </c>
      <c r="C9" s="21" t="n">
        <v>60</v>
      </c>
      <c r="D9" s="21" t="n">
        <v>120</v>
      </c>
      <c r="E9" s="21" t="n">
        <v>200</v>
      </c>
      <c r="F9" s="22" t="n">
        <v>15</v>
      </c>
      <c r="G9" s="22" t="n">
        <v>20</v>
      </c>
      <c r="H9" s="22" t="n">
        <v>25</v>
      </c>
      <c r="I9" s="21" t="n">
        <v>40</v>
      </c>
      <c r="J9" s="21" t="n">
        <v>55</v>
      </c>
      <c r="K9" s="21" t="n">
        <v>70</v>
      </c>
      <c r="L9" s="16" t="s">
        <v>109</v>
      </c>
      <c r="M9" s="17" t="s">
        <v>114</v>
      </c>
    </row>
    <row r="10" customFormat="false" ht="54" hidden="false" customHeight="true" outlineLevel="0" collapsed="false">
      <c r="A10" s="13" t="s">
        <v>115</v>
      </c>
      <c r="B10" s="17" t="s">
        <v>116</v>
      </c>
      <c r="C10" s="20" t="n">
        <v>10</v>
      </c>
      <c r="D10" s="20" t="n">
        <v>30</v>
      </c>
      <c r="E10" s="20" t="n">
        <v>60</v>
      </c>
      <c r="F10" s="20" t="n">
        <v>6</v>
      </c>
      <c r="G10" s="20" t="n">
        <v>12</v>
      </c>
      <c r="H10" s="20" t="n">
        <v>18</v>
      </c>
      <c r="I10" s="20" t="n">
        <v>20</v>
      </c>
      <c r="J10" s="20" t="n">
        <v>30</v>
      </c>
      <c r="K10" s="20" t="n">
        <v>40</v>
      </c>
      <c r="L10" s="16" t="s">
        <v>105</v>
      </c>
      <c r="M10" s="17" t="s">
        <v>106</v>
      </c>
    </row>
    <row r="11" customFormat="false" ht="54" hidden="false" customHeight="true" outlineLevel="0" collapsed="false">
      <c r="A11" s="13" t="s">
        <v>117</v>
      </c>
      <c r="B11" s="17" t="s">
        <v>118</v>
      </c>
      <c r="C11" s="20" t="n">
        <v>25</v>
      </c>
      <c r="D11" s="20" t="n">
        <v>70</v>
      </c>
      <c r="E11" s="20" t="n">
        <v>150</v>
      </c>
      <c r="F11" s="20" t="n">
        <v>15</v>
      </c>
      <c r="G11" s="20" t="n">
        <v>20</v>
      </c>
      <c r="H11" s="20" t="n">
        <v>25</v>
      </c>
      <c r="I11" s="20" t="n">
        <v>25</v>
      </c>
      <c r="J11" s="20" t="n">
        <v>38</v>
      </c>
      <c r="K11" s="20" t="n">
        <v>50</v>
      </c>
      <c r="L11" s="16" t="s">
        <v>105</v>
      </c>
      <c r="M11" s="17" t="s">
        <v>106</v>
      </c>
    </row>
    <row r="12" customFormat="false" ht="43.5" hidden="false" customHeight="true" outlineLevel="0" collapsed="false">
      <c r="A12" s="13" t="s">
        <v>119</v>
      </c>
      <c r="B12" s="17" t="s">
        <v>120</v>
      </c>
      <c r="C12" s="23" t="s">
        <v>121</v>
      </c>
      <c r="I12" s="21" t="n">
        <v>10</v>
      </c>
      <c r="J12" s="21" t="n">
        <v>15</v>
      </c>
      <c r="K12" s="21" t="n">
        <v>25</v>
      </c>
      <c r="L12" s="16" t="s">
        <v>122</v>
      </c>
      <c r="M12" s="17" t="s">
        <v>123</v>
      </c>
    </row>
    <row r="14" customFormat="false" ht="15" hidden="false" customHeight="false" outlineLevel="0" collapsed="false">
      <c r="A14" s="11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7" min="5" style="0" width="13"/>
  </cols>
  <sheetData>
    <row r="1" customFormat="false" ht="16.15" hidden="false" customHeight="false" outlineLevel="0" collapsed="false">
      <c r="A1" s="10" t="s">
        <v>125</v>
      </c>
    </row>
    <row r="2" customFormat="false" ht="15" hidden="false" customHeight="false" outlineLevel="0" collapsed="false">
      <c r="A2" s="11" t="s">
        <v>126</v>
      </c>
    </row>
    <row r="4" customFormat="false" ht="39.75" hidden="false" customHeight="true" outlineLevel="0" collapsed="false">
      <c r="A4" s="12" t="s">
        <v>127</v>
      </c>
      <c r="B4" s="12" t="s">
        <v>128</v>
      </c>
      <c r="C4" s="12" t="s">
        <v>129</v>
      </c>
      <c r="D4" s="12" t="s">
        <v>130</v>
      </c>
      <c r="E4" s="12" t="s">
        <v>131</v>
      </c>
      <c r="F4" s="12" t="s">
        <v>132</v>
      </c>
      <c r="G4" s="12" t="s">
        <v>133</v>
      </c>
    </row>
    <row r="5" customFormat="false" ht="15" hidden="false" customHeight="false" outlineLevel="0" collapsed="false">
      <c r="A5" s="16" t="s">
        <v>134</v>
      </c>
      <c r="B5" s="14" t="n">
        <v>13129.5475399911</v>
      </c>
      <c r="C5" s="16" t="s">
        <v>135</v>
      </c>
      <c r="D5" s="17" t="s">
        <v>77</v>
      </c>
      <c r="E5" s="22" t="n">
        <v>38.4344471977862</v>
      </c>
      <c r="F5" s="16"/>
      <c r="G5" s="16"/>
    </row>
    <row r="6" customFormat="false" ht="15" hidden="false" customHeight="false" outlineLevel="0" collapsed="false">
      <c r="A6" s="16" t="s">
        <v>134</v>
      </c>
      <c r="B6" s="14" t="n">
        <v>15227.3043215313</v>
      </c>
      <c r="C6" s="16" t="s">
        <v>135</v>
      </c>
      <c r="D6" s="17" t="s">
        <v>77</v>
      </c>
      <c r="E6" s="22" t="n">
        <v>56.3853102740508</v>
      </c>
      <c r="F6" s="16"/>
      <c r="G6" s="16"/>
    </row>
    <row r="7" customFormat="false" ht="15" hidden="false" customHeight="false" outlineLevel="0" collapsed="false">
      <c r="A7" s="16" t="s">
        <v>134</v>
      </c>
      <c r="B7" s="14" t="n">
        <v>16403.780875273</v>
      </c>
      <c r="C7" s="16" t="s">
        <v>135</v>
      </c>
      <c r="D7" s="17" t="s">
        <v>77</v>
      </c>
      <c r="E7" s="22" t="n">
        <v>77.9907835014144</v>
      </c>
      <c r="F7" s="16"/>
      <c r="G7" s="16"/>
    </row>
    <row r="8" customFormat="false" ht="15" hidden="false" customHeight="false" outlineLevel="0" collapsed="false">
      <c r="A8" s="16" t="s">
        <v>134</v>
      </c>
      <c r="B8" s="14" t="n">
        <v>38487.1544095296</v>
      </c>
      <c r="C8" s="16" t="s">
        <v>135</v>
      </c>
      <c r="D8" s="17" t="s">
        <v>77</v>
      </c>
      <c r="E8" s="22" t="n">
        <v>61.9822777115961</v>
      </c>
      <c r="F8" s="16"/>
      <c r="G8" s="16"/>
    </row>
    <row r="9" customFormat="false" ht="15" hidden="false" customHeight="false" outlineLevel="0" collapsed="false">
      <c r="A9" s="16" t="s">
        <v>134</v>
      </c>
      <c r="B9" s="14" t="n">
        <v>42445.1257748239</v>
      </c>
      <c r="C9" s="16" t="s">
        <v>135</v>
      </c>
      <c r="D9" s="17" t="s">
        <v>77</v>
      </c>
      <c r="E9" s="22" t="n">
        <v>85.4928428873777</v>
      </c>
      <c r="F9" s="16"/>
      <c r="G9" s="16"/>
    </row>
    <row r="10" customFormat="false" ht="15" hidden="false" customHeight="false" outlineLevel="0" collapsed="false">
      <c r="A10" s="16" t="s">
        <v>136</v>
      </c>
      <c r="B10" s="14" t="n">
        <v>13111.3321179791</v>
      </c>
      <c r="C10" s="13" t="s">
        <v>137</v>
      </c>
      <c r="D10" s="17" t="s">
        <v>138</v>
      </c>
      <c r="E10" s="22" t="n">
        <v>38.7611283464984</v>
      </c>
      <c r="F10" s="16" t="s">
        <v>139</v>
      </c>
      <c r="G10" s="16" t="s">
        <v>140</v>
      </c>
    </row>
    <row r="11" customFormat="false" ht="15" hidden="false" customHeight="false" outlineLevel="0" collapsed="false">
      <c r="A11" s="16" t="s">
        <v>136</v>
      </c>
      <c r="B11" s="14" t="n">
        <v>15234.7173522967</v>
      </c>
      <c r="C11" s="13" t="s">
        <v>141</v>
      </c>
      <c r="D11" s="17" t="s">
        <v>138</v>
      </c>
      <c r="E11" s="22" t="n">
        <v>55.711829458142</v>
      </c>
      <c r="F11" s="16" t="s">
        <v>139</v>
      </c>
      <c r="G11" s="16" t="s">
        <v>139</v>
      </c>
    </row>
    <row r="12" customFormat="false" ht="15" hidden="false" customHeight="false" outlineLevel="0" collapsed="false">
      <c r="A12" s="16" t="s">
        <v>136</v>
      </c>
      <c r="B12" s="14" t="n">
        <v>16382.5370524141</v>
      </c>
      <c r="C12" s="13" t="s">
        <v>135</v>
      </c>
      <c r="D12" s="17" t="s">
        <v>142</v>
      </c>
      <c r="E12" s="22" t="n">
        <v>75.4639549475839</v>
      </c>
      <c r="F12" s="16" t="s">
        <v>139</v>
      </c>
      <c r="G12" s="16" t="s">
        <v>139</v>
      </c>
    </row>
    <row r="13" customFormat="false" ht="15" hidden="false" customHeight="false" outlineLevel="0" collapsed="false">
      <c r="A13" s="16" t="s">
        <v>136</v>
      </c>
      <c r="B13" s="14" t="n">
        <v>38487.4019036426</v>
      </c>
      <c r="C13" s="13" t="s">
        <v>143</v>
      </c>
      <c r="D13" s="17" t="s">
        <v>144</v>
      </c>
      <c r="E13" s="22" t="n">
        <v>61.9579258676104</v>
      </c>
      <c r="F13" s="16" t="s">
        <v>139</v>
      </c>
      <c r="G13" s="16" t="s">
        <v>139</v>
      </c>
    </row>
    <row r="14" customFormat="false" ht="15" hidden="false" customHeight="false" outlineLevel="0" collapsed="false">
      <c r="A14" s="16" t="s">
        <v>136</v>
      </c>
      <c r="B14" s="14" t="n">
        <v>42424.2741349041</v>
      </c>
      <c r="C14" s="13" t="s">
        <v>145</v>
      </c>
      <c r="D14" s="17" t="s">
        <v>144</v>
      </c>
      <c r="E14" s="22" t="n">
        <v>83.554208178844</v>
      </c>
      <c r="F14" s="16" t="s">
        <v>139</v>
      </c>
      <c r="G14" s="16" t="s">
        <v>139</v>
      </c>
    </row>
    <row r="15" customFormat="false" ht="15" hidden="false" customHeight="false" outlineLevel="0" collapsed="false">
      <c r="A15" s="16" t="s">
        <v>146</v>
      </c>
      <c r="B15" s="14" t="n">
        <v>13725.4777014543</v>
      </c>
      <c r="C15" s="16" t="s">
        <v>135</v>
      </c>
      <c r="D15" s="17" t="s">
        <v>77</v>
      </c>
      <c r="E15" s="22" t="n">
        <v>49.4473084433858</v>
      </c>
      <c r="F15" s="16"/>
      <c r="G15" s="16"/>
    </row>
    <row r="16" customFormat="false" ht="15" hidden="false" customHeight="false" outlineLevel="0" collapsed="false">
      <c r="A16" s="16" t="s">
        <v>146</v>
      </c>
      <c r="B16" s="14" t="n">
        <v>15392.5752141685</v>
      </c>
      <c r="C16" s="16" t="s">
        <v>135</v>
      </c>
      <c r="D16" s="17" t="s">
        <v>77</v>
      </c>
      <c r="E16" s="22" t="n">
        <v>51.152009053686</v>
      </c>
      <c r="F16" s="16"/>
      <c r="G16" s="16"/>
    </row>
    <row r="17" customFormat="false" ht="15" hidden="false" customHeight="false" outlineLevel="0" collapsed="false">
      <c r="A17" s="16" t="s">
        <v>146</v>
      </c>
      <c r="B17" s="14" t="n">
        <v>16400.5406713136</v>
      </c>
      <c r="C17" s="16" t="s">
        <v>135</v>
      </c>
      <c r="D17" s="17" t="s">
        <v>77</v>
      </c>
      <c r="E17" s="22" t="n">
        <v>83.5654881355942</v>
      </c>
      <c r="F17" s="16"/>
      <c r="G17" s="16"/>
    </row>
    <row r="18" customFormat="false" ht="15" hidden="false" customHeight="false" outlineLevel="0" collapsed="false">
      <c r="A18" s="16" t="s">
        <v>146</v>
      </c>
      <c r="B18" s="14" t="n">
        <v>26779.5894894253</v>
      </c>
      <c r="C18" s="16" t="s">
        <v>135</v>
      </c>
      <c r="D18" s="17" t="s">
        <v>77</v>
      </c>
      <c r="E18" s="22" t="n">
        <v>83.4607309752323</v>
      </c>
      <c r="F18" s="16"/>
      <c r="G18" s="16"/>
    </row>
    <row r="19" customFormat="false" ht="15" hidden="false" customHeight="false" outlineLevel="0" collapsed="false">
      <c r="A19" s="16" t="s">
        <v>146</v>
      </c>
      <c r="B19" s="14" t="n">
        <v>38655.8198551639</v>
      </c>
      <c r="C19" s="16" t="s">
        <v>135</v>
      </c>
      <c r="D19" s="17" t="s">
        <v>77</v>
      </c>
      <c r="E19" s="22" t="n">
        <v>64.1012338740424</v>
      </c>
      <c r="F19" s="16"/>
      <c r="G19" s="16"/>
    </row>
    <row r="20" customFormat="false" ht="15" hidden="false" customHeight="false" outlineLevel="0" collapsed="false">
      <c r="A20" s="16" t="s">
        <v>146</v>
      </c>
      <c r="B20" s="14" t="n">
        <v>42494.8738868579</v>
      </c>
      <c r="C20" s="16" t="s">
        <v>135</v>
      </c>
      <c r="D20" s="17" t="s">
        <v>77</v>
      </c>
      <c r="E20" s="22" t="n">
        <v>73.3017979864214</v>
      </c>
      <c r="F20" s="16"/>
      <c r="G20" s="16"/>
    </row>
    <row r="22" customFormat="false" ht="16.15" hidden="false" customHeight="false" outlineLevel="0" collapsed="false">
      <c r="A22" s="10" t="s">
        <v>147</v>
      </c>
    </row>
    <row r="23" customFormat="false" ht="39.75" hidden="false" customHeight="true" outlineLevel="0" collapsed="false">
      <c r="A23" s="12" t="s">
        <v>148</v>
      </c>
      <c r="B23" s="12" t="s">
        <v>149</v>
      </c>
      <c r="C23" s="12" t="s">
        <v>150</v>
      </c>
      <c r="D23" s="12" t="s">
        <v>151</v>
      </c>
      <c r="E23" s="12" t="s">
        <v>40</v>
      </c>
      <c r="F23" s="12" t="s">
        <v>152</v>
      </c>
    </row>
    <row r="24" customFormat="false" ht="57.45" hidden="false" customHeight="false" outlineLevel="0" collapsed="false">
      <c r="A24" s="13" t="s">
        <v>153</v>
      </c>
      <c r="B24" s="24" t="n">
        <v>60</v>
      </c>
      <c r="C24" s="16" t="n">
        <v>5</v>
      </c>
      <c r="D24" s="14" t="n">
        <f aca="false">B24*C24</f>
        <v>300</v>
      </c>
      <c r="E24" s="25" t="n">
        <f aca="false">D24/52226.4</f>
        <v>0.00574422131335876</v>
      </c>
      <c r="F24" s="17" t="s">
        <v>154</v>
      </c>
    </row>
    <row r="25" customFormat="false" ht="57.45" hidden="false" customHeight="false" outlineLevel="0" collapsed="false">
      <c r="A25" s="13" t="s">
        <v>155</v>
      </c>
      <c r="B25" s="24" t="n">
        <v>350</v>
      </c>
      <c r="C25" s="16" t="n">
        <v>5</v>
      </c>
      <c r="D25" s="14" t="n">
        <f aca="false">B25*C25</f>
        <v>1750</v>
      </c>
      <c r="E25" s="25" t="n">
        <f aca="false">D25/52226.4</f>
        <v>0.0335079576612594</v>
      </c>
      <c r="F25" s="17" t="s">
        <v>154</v>
      </c>
    </row>
    <row r="26" customFormat="false" ht="57.45" hidden="false" customHeight="false" outlineLevel="0" collapsed="false">
      <c r="A26" s="13" t="s">
        <v>156</v>
      </c>
      <c r="B26" s="24" t="n">
        <v>590</v>
      </c>
      <c r="C26" s="16" t="n">
        <v>5</v>
      </c>
      <c r="D26" s="14" t="n">
        <f aca="false">B26*C26</f>
        <v>2950</v>
      </c>
      <c r="E26" s="25" t="n">
        <f aca="false">D26/52226.4</f>
        <v>0.0564848429146945</v>
      </c>
      <c r="F26" s="17" t="s">
        <v>154</v>
      </c>
    </row>
    <row r="27" customFormat="false" ht="68.65" hidden="false" customHeight="false" outlineLevel="0" collapsed="false">
      <c r="A27" s="13" t="s">
        <v>157</v>
      </c>
      <c r="D27" s="26" t="n">
        <v>2818</v>
      </c>
      <c r="E27" s="19" t="n">
        <v>0.329128708245737</v>
      </c>
      <c r="F27" s="17" t="s">
        <v>158</v>
      </c>
    </row>
    <row r="29" customFormat="false" ht="15" hidden="false" customHeight="false" outlineLevel="0" collapsed="false">
      <c r="A29" s="27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  <col collapsed="false" customWidth="true" hidden="false" outlineLevel="0" max="5" min="5" style="0" width="22"/>
  </cols>
  <sheetData>
    <row r="1" customFormat="false" ht="16.15" hidden="false" customHeight="false" outlineLevel="0" collapsed="false">
      <c r="A1" s="10" t="s">
        <v>160</v>
      </c>
    </row>
    <row r="2" customFormat="false" ht="15" hidden="false" customHeight="false" outlineLevel="0" collapsed="false">
      <c r="A2" s="11" t="s">
        <v>161</v>
      </c>
    </row>
    <row r="4" customFormat="false" ht="39.75" hidden="false" customHeight="true" outlineLevel="0" collapsed="false">
      <c r="A4" s="12" t="s">
        <v>162</v>
      </c>
      <c r="B4" s="12" t="s">
        <v>37</v>
      </c>
      <c r="C4" s="12" t="s">
        <v>38</v>
      </c>
      <c r="D4" s="12" t="s">
        <v>39</v>
      </c>
      <c r="E4" s="12" t="s">
        <v>163</v>
      </c>
    </row>
    <row r="5" customFormat="false" ht="15" hidden="false" customHeight="false" outlineLevel="0" collapsed="false">
      <c r="A5" s="16" t="s">
        <v>134</v>
      </c>
      <c r="B5" s="14" t="n">
        <v>0</v>
      </c>
      <c r="C5" s="14" t="n">
        <v>445.995928825017</v>
      </c>
      <c r="D5" s="14" t="n">
        <f aca="false">C5-B5</f>
        <v>445.995928825017</v>
      </c>
      <c r="E5" s="16" t="s">
        <v>164</v>
      </c>
    </row>
    <row r="6" customFormat="false" ht="15" hidden="false" customHeight="false" outlineLevel="0" collapsed="false">
      <c r="A6" s="16" t="s">
        <v>134</v>
      </c>
      <c r="B6" s="14" t="n">
        <v>445.995928825017</v>
      </c>
      <c r="C6" s="14" t="n">
        <v>15227.5734416407</v>
      </c>
      <c r="D6" s="14" t="n">
        <f aca="false">C6-B6</f>
        <v>14781.5775128156</v>
      </c>
      <c r="E6" s="16" t="s">
        <v>165</v>
      </c>
    </row>
    <row r="7" customFormat="false" ht="15" hidden="false" customHeight="false" outlineLevel="0" collapsed="false">
      <c r="A7" s="16" t="s">
        <v>134</v>
      </c>
      <c r="B7" s="14" t="n">
        <v>15227.5734416407</v>
      </c>
      <c r="C7" s="14" t="n">
        <v>16404.05149552</v>
      </c>
      <c r="D7" s="14" t="n">
        <f aca="false">C7-B7</f>
        <v>1176.47805387936</v>
      </c>
      <c r="E7" s="16" t="s">
        <v>166</v>
      </c>
    </row>
    <row r="8" customFormat="false" ht="15" hidden="false" customHeight="false" outlineLevel="0" collapsed="false">
      <c r="A8" s="16" t="s">
        <v>134</v>
      </c>
      <c r="B8" s="14" t="n">
        <v>16404.0643886399</v>
      </c>
      <c r="C8" s="14" t="n">
        <v>24139.2338212959</v>
      </c>
      <c r="D8" s="14" t="n">
        <f aca="false">C8-B8</f>
        <v>7735.16943265596</v>
      </c>
      <c r="E8" s="16" t="s">
        <v>167</v>
      </c>
    </row>
    <row r="9" customFormat="false" ht="15" hidden="false" customHeight="false" outlineLevel="0" collapsed="false">
      <c r="A9" s="16" t="s">
        <v>134</v>
      </c>
      <c r="B9" s="14" t="n">
        <v>24139.318252732</v>
      </c>
      <c r="C9" s="14" t="n">
        <v>25693.024292272</v>
      </c>
      <c r="D9" s="14" t="n">
        <f aca="false">C9-B9</f>
        <v>1553.70603953992</v>
      </c>
      <c r="E9" s="16" t="s">
        <v>168</v>
      </c>
    </row>
    <row r="10" customFormat="false" ht="15" hidden="false" customHeight="false" outlineLevel="0" collapsed="false">
      <c r="A10" s="16" t="s">
        <v>134</v>
      </c>
      <c r="B10" s="14" t="n">
        <v>25692.9803163894</v>
      </c>
      <c r="C10" s="14" t="n">
        <v>26654.0867587653</v>
      </c>
      <c r="D10" s="14" t="n">
        <f aca="false">C10-B10</f>
        <v>961.106442375891</v>
      </c>
      <c r="E10" s="16" t="s">
        <v>167</v>
      </c>
    </row>
    <row r="11" customFormat="false" ht="15" hidden="false" customHeight="false" outlineLevel="0" collapsed="false">
      <c r="A11" s="16" t="s">
        <v>134</v>
      </c>
      <c r="B11" s="14" t="n">
        <v>26654.1653625535</v>
      </c>
      <c r="C11" s="14" t="n">
        <v>27091.6716744374</v>
      </c>
      <c r="D11" s="14" t="n">
        <f aca="false">C11-B11</f>
        <v>437.506311883972</v>
      </c>
      <c r="E11" s="16" t="s">
        <v>169</v>
      </c>
    </row>
    <row r="12" customFormat="false" ht="15" hidden="false" customHeight="false" outlineLevel="0" collapsed="false">
      <c r="A12" s="16" t="s">
        <v>134</v>
      </c>
      <c r="B12" s="14" t="n">
        <v>27091.4037919728</v>
      </c>
      <c r="C12" s="14" t="n">
        <v>42445.9752907595</v>
      </c>
      <c r="D12" s="14" t="n">
        <f aca="false">C12-B12</f>
        <v>15354.5714987867</v>
      </c>
      <c r="E12" s="16" t="s">
        <v>167</v>
      </c>
    </row>
    <row r="13" customFormat="false" ht="15" hidden="false" customHeight="false" outlineLevel="0" collapsed="false">
      <c r="A13" s="16" t="s">
        <v>134</v>
      </c>
      <c r="B13" s="14" t="n">
        <v>42445.9961771325</v>
      </c>
      <c r="C13" s="14" t="n">
        <v>52226.3845184093</v>
      </c>
      <c r="D13" s="14" t="n">
        <f aca="false">C13-B13</f>
        <v>9780.38834127681</v>
      </c>
      <c r="E13" s="16" t="s">
        <v>170</v>
      </c>
    </row>
    <row r="14" customFormat="false" ht="15" hidden="false" customHeight="false" outlineLevel="0" collapsed="false">
      <c r="A14" s="16" t="s">
        <v>146</v>
      </c>
      <c r="B14" s="14" t="n">
        <v>0</v>
      </c>
      <c r="C14" s="14" t="n">
        <v>473.992081607202</v>
      </c>
      <c r="D14" s="14" t="n">
        <f aca="false">C14-B14</f>
        <v>473.992081607202</v>
      </c>
      <c r="E14" s="16" t="s">
        <v>171</v>
      </c>
    </row>
    <row r="15" customFormat="false" ht="15" hidden="false" customHeight="false" outlineLevel="0" collapsed="false">
      <c r="A15" s="16" t="s">
        <v>146</v>
      </c>
      <c r="B15" s="14" t="n">
        <v>473.992081607202</v>
      </c>
      <c r="C15" s="14" t="n">
        <v>13270.2000485736</v>
      </c>
      <c r="D15" s="14" t="n">
        <f aca="false">C15-B15</f>
        <v>12796.2079669664</v>
      </c>
      <c r="E15" s="16" t="s">
        <v>172</v>
      </c>
    </row>
    <row r="16" customFormat="false" ht="15" hidden="false" customHeight="false" outlineLevel="0" collapsed="false">
      <c r="A16" s="16" t="s">
        <v>146</v>
      </c>
      <c r="B16" s="14" t="n">
        <v>13270.2000485736</v>
      </c>
      <c r="C16" s="14" t="n">
        <v>13998.9526190668</v>
      </c>
      <c r="D16" s="14" t="n">
        <f aca="false">C16-B16</f>
        <v>728.7525704932</v>
      </c>
      <c r="E16" s="16" t="s">
        <v>173</v>
      </c>
    </row>
    <row r="17" customFormat="false" ht="15" hidden="false" customHeight="false" outlineLevel="0" collapsed="false">
      <c r="A17" s="16" t="s">
        <v>146</v>
      </c>
      <c r="B17" s="14" t="n">
        <v>13998.9526190668</v>
      </c>
      <c r="C17" s="14" t="n">
        <v>15402.0538415955</v>
      </c>
      <c r="D17" s="14" t="n">
        <f aca="false">C17-B17</f>
        <v>1403.10122252875</v>
      </c>
      <c r="E17" s="16" t="s">
        <v>174</v>
      </c>
    </row>
    <row r="18" customFormat="false" ht="15" hidden="false" customHeight="false" outlineLevel="0" collapsed="false">
      <c r="A18" s="16" t="s">
        <v>146</v>
      </c>
      <c r="B18" s="14" t="n">
        <v>15402.0538415955</v>
      </c>
      <c r="C18" s="14" t="n">
        <v>16400.5440379498</v>
      </c>
      <c r="D18" s="14" t="n">
        <f aca="false">C18-B18</f>
        <v>998.490196354229</v>
      </c>
      <c r="E18" s="16" t="s">
        <v>171</v>
      </c>
    </row>
    <row r="19" customFormat="false" ht="15" hidden="false" customHeight="false" outlineLevel="0" collapsed="false">
      <c r="A19" s="16" t="s">
        <v>146</v>
      </c>
      <c r="B19" s="14" t="n">
        <v>16400.5440379498</v>
      </c>
      <c r="C19" s="14" t="n">
        <v>17418.8022382819</v>
      </c>
      <c r="D19" s="14" t="n">
        <f aca="false">C19-B19</f>
        <v>1018.25820033209</v>
      </c>
      <c r="E19" s="16" t="s">
        <v>174</v>
      </c>
    </row>
    <row r="20" customFormat="false" ht="15" hidden="false" customHeight="false" outlineLevel="0" collapsed="false">
      <c r="A20" s="16" t="s">
        <v>146</v>
      </c>
      <c r="B20" s="14" t="n">
        <v>17418.8022382819</v>
      </c>
      <c r="C20" s="14" t="n">
        <v>17489.1302808909</v>
      </c>
      <c r="D20" s="14" t="n">
        <f aca="false">C20-B20</f>
        <v>70.3280426090823</v>
      </c>
      <c r="E20" s="16" t="s">
        <v>175</v>
      </c>
    </row>
    <row r="21" customFormat="false" ht="15" hidden="false" customHeight="false" outlineLevel="0" collapsed="false">
      <c r="A21" s="16" t="s">
        <v>146</v>
      </c>
      <c r="B21" s="14" t="n">
        <v>17489.1302808909</v>
      </c>
      <c r="C21" s="14" t="n">
        <v>17560.2925185067</v>
      </c>
      <c r="D21" s="14" t="n">
        <f aca="false">C21-B21</f>
        <v>71.1622376157502</v>
      </c>
      <c r="E21" s="16" t="s">
        <v>174</v>
      </c>
    </row>
    <row r="22" customFormat="false" ht="15" hidden="false" customHeight="false" outlineLevel="0" collapsed="false">
      <c r="A22" s="16" t="s">
        <v>146</v>
      </c>
      <c r="B22" s="14" t="n">
        <v>17560.2925185067</v>
      </c>
      <c r="C22" s="14" t="n">
        <v>17777.9167127326</v>
      </c>
      <c r="D22" s="14" t="n">
        <f aca="false">C22-B22</f>
        <v>217.624194225959</v>
      </c>
      <c r="E22" s="16" t="s">
        <v>175</v>
      </c>
    </row>
    <row r="23" customFormat="false" ht="15" hidden="false" customHeight="false" outlineLevel="0" collapsed="false">
      <c r="A23" s="16" t="s">
        <v>146</v>
      </c>
      <c r="B23" s="14" t="n">
        <v>17777.9167127326</v>
      </c>
      <c r="C23" s="14" t="n">
        <v>18517.1011072352</v>
      </c>
      <c r="D23" s="14" t="n">
        <f aca="false">C23-B23</f>
        <v>739.184394502521</v>
      </c>
      <c r="E23" s="16" t="s">
        <v>174</v>
      </c>
    </row>
    <row r="24" customFormat="false" ht="15" hidden="false" customHeight="false" outlineLevel="0" collapsed="false">
      <c r="A24" s="16" t="s">
        <v>146</v>
      </c>
      <c r="B24" s="14" t="n">
        <v>18517.1011072352</v>
      </c>
      <c r="C24" s="14" t="n">
        <v>22173.2019152049</v>
      </c>
      <c r="D24" s="14" t="n">
        <f aca="false">C24-B24</f>
        <v>3656.10080796971</v>
      </c>
      <c r="E24" s="16" t="s">
        <v>175</v>
      </c>
    </row>
    <row r="25" customFormat="false" ht="15" hidden="false" customHeight="false" outlineLevel="0" collapsed="false">
      <c r="A25" s="16" t="s">
        <v>146</v>
      </c>
      <c r="B25" s="14" t="n">
        <v>22173.2019152049</v>
      </c>
      <c r="C25" s="14" t="n">
        <v>22560.9974856735</v>
      </c>
      <c r="D25" s="14" t="n">
        <f aca="false">C25-B25</f>
        <v>387.795570468661</v>
      </c>
      <c r="E25" s="16" t="s">
        <v>176</v>
      </c>
    </row>
    <row r="26" customFormat="false" ht="15" hidden="false" customHeight="false" outlineLevel="0" collapsed="false">
      <c r="A26" s="16" t="s">
        <v>146</v>
      </c>
      <c r="B26" s="14" t="n">
        <v>22560.9974856735</v>
      </c>
      <c r="C26" s="14" t="n">
        <v>23176.3393838457</v>
      </c>
      <c r="D26" s="14" t="n">
        <f aca="false">C26-B26</f>
        <v>615.341898172188</v>
      </c>
      <c r="E26" s="16" t="s">
        <v>174</v>
      </c>
    </row>
    <row r="27" customFormat="false" ht="15" hidden="false" customHeight="false" outlineLevel="0" collapsed="false">
      <c r="A27" s="16" t="s">
        <v>146</v>
      </c>
      <c r="B27" s="14" t="n">
        <v>23176.3393838457</v>
      </c>
      <c r="C27" s="14" t="n">
        <v>23207.8254713674</v>
      </c>
      <c r="D27" s="14" t="n">
        <f aca="false">C27-B27</f>
        <v>31.4860875216618</v>
      </c>
      <c r="E27" s="16" t="s">
        <v>175</v>
      </c>
    </row>
    <row r="28" customFormat="false" ht="15" hidden="false" customHeight="false" outlineLevel="0" collapsed="false">
      <c r="A28" s="16" t="s">
        <v>146</v>
      </c>
      <c r="B28" s="14" t="n">
        <v>23207.8254713674</v>
      </c>
      <c r="C28" s="14" t="n">
        <v>23311.0563691342</v>
      </c>
      <c r="D28" s="14" t="n">
        <f aca="false">C28-B28</f>
        <v>103.230897766789</v>
      </c>
      <c r="E28" s="16" t="s">
        <v>174</v>
      </c>
    </row>
    <row r="29" customFormat="false" ht="15" hidden="false" customHeight="false" outlineLevel="0" collapsed="false">
      <c r="A29" s="16" t="s">
        <v>146</v>
      </c>
      <c r="B29" s="14" t="n">
        <v>23311.0563691342</v>
      </c>
      <c r="C29" s="14" t="n">
        <v>23671.9699088485</v>
      </c>
      <c r="D29" s="14" t="n">
        <f aca="false">C29-B29</f>
        <v>360.913539714289</v>
      </c>
      <c r="E29" s="16" t="s">
        <v>175</v>
      </c>
    </row>
    <row r="30" customFormat="false" ht="15" hidden="false" customHeight="false" outlineLevel="0" collapsed="false">
      <c r="A30" s="16" t="s">
        <v>146</v>
      </c>
      <c r="B30" s="14" t="n">
        <v>23671.9699088485</v>
      </c>
      <c r="C30" s="14" t="n">
        <v>23978.0531057464</v>
      </c>
      <c r="D30" s="14" t="n">
        <f aca="false">C30-B30</f>
        <v>306.08319689798</v>
      </c>
      <c r="E30" s="16" t="s">
        <v>174</v>
      </c>
    </row>
    <row r="31" customFormat="false" ht="15" hidden="false" customHeight="false" outlineLevel="0" collapsed="false">
      <c r="A31" s="16" t="s">
        <v>146</v>
      </c>
      <c r="B31" s="14" t="n">
        <v>23978.0531057464</v>
      </c>
      <c r="C31" s="14" t="n">
        <v>25353.4300182065</v>
      </c>
      <c r="D31" s="14" t="n">
        <f aca="false">C31-B31</f>
        <v>1375.37691246007</v>
      </c>
      <c r="E31" s="16" t="s">
        <v>173</v>
      </c>
    </row>
    <row r="32" customFormat="false" ht="15" hidden="false" customHeight="false" outlineLevel="0" collapsed="false">
      <c r="A32" s="16" t="s">
        <v>146</v>
      </c>
      <c r="B32" s="14" t="n">
        <v>25353.4300182065</v>
      </c>
      <c r="C32" s="14" t="n">
        <v>26512.3718203418</v>
      </c>
      <c r="D32" s="14" t="n">
        <f aca="false">C32-B32</f>
        <v>1158.94180213531</v>
      </c>
      <c r="E32" s="16" t="s">
        <v>175</v>
      </c>
    </row>
    <row r="33" customFormat="false" ht="15" hidden="false" customHeight="false" outlineLevel="0" collapsed="false">
      <c r="A33" s="16" t="s">
        <v>146</v>
      </c>
      <c r="B33" s="14" t="n">
        <v>26512.3718203418</v>
      </c>
      <c r="C33" s="14" t="n">
        <v>26820.0660512034</v>
      </c>
      <c r="D33" s="14" t="n">
        <f aca="false">C33-B33</f>
        <v>307.694230861598</v>
      </c>
      <c r="E33" s="16" t="s">
        <v>176</v>
      </c>
    </row>
    <row r="34" customFormat="false" ht="15" hidden="false" customHeight="false" outlineLevel="0" collapsed="false">
      <c r="A34" s="16" t="s">
        <v>146</v>
      </c>
      <c r="B34" s="14" t="n">
        <v>26820.0660512034</v>
      </c>
      <c r="C34" s="14" t="n">
        <v>28059.1418648044</v>
      </c>
      <c r="D34" s="14" t="n">
        <f aca="false">C34-B34</f>
        <v>1239.07581360098</v>
      </c>
      <c r="E34" s="16" t="s">
        <v>174</v>
      </c>
    </row>
    <row r="35" customFormat="false" ht="15" hidden="false" customHeight="false" outlineLevel="0" collapsed="false">
      <c r="A35" s="16" t="s">
        <v>146</v>
      </c>
      <c r="B35" s="14" t="n">
        <v>28059.1418648044</v>
      </c>
      <c r="C35" s="14" t="n">
        <v>28344.4393901838</v>
      </c>
      <c r="D35" s="14" t="n">
        <f aca="false">C35-B35</f>
        <v>285.297525379432</v>
      </c>
      <c r="E35" s="16" t="s">
        <v>173</v>
      </c>
    </row>
    <row r="36" customFormat="false" ht="15" hidden="false" customHeight="false" outlineLevel="0" collapsed="false">
      <c r="A36" s="16" t="s">
        <v>146</v>
      </c>
      <c r="B36" s="14" t="n">
        <v>28344.4393901838</v>
      </c>
      <c r="C36" s="14" t="n">
        <v>32637.3369252923</v>
      </c>
      <c r="D36" s="14" t="n">
        <f aca="false">C36-B36</f>
        <v>4292.89753510851</v>
      </c>
      <c r="E36" s="16" t="s">
        <v>174</v>
      </c>
    </row>
    <row r="37" customFormat="false" ht="15" hidden="false" customHeight="false" outlineLevel="0" collapsed="false">
      <c r="A37" s="16" t="s">
        <v>146</v>
      </c>
      <c r="B37" s="14" t="n">
        <v>32637.3369252923</v>
      </c>
      <c r="C37" s="14" t="n">
        <v>33031.0797231873</v>
      </c>
      <c r="D37" s="14" t="n">
        <f aca="false">C37-B37</f>
        <v>393.742797894916</v>
      </c>
      <c r="E37" s="16" t="s">
        <v>175</v>
      </c>
    </row>
    <row r="38" customFormat="false" ht="15" hidden="false" customHeight="false" outlineLevel="0" collapsed="false">
      <c r="A38" s="16" t="s">
        <v>146</v>
      </c>
      <c r="B38" s="14" t="n">
        <v>33031.0797231873</v>
      </c>
      <c r="C38" s="14" t="n">
        <v>33178.3024089089</v>
      </c>
      <c r="D38" s="14" t="n">
        <f aca="false">C38-B38</f>
        <v>147.222685721616</v>
      </c>
      <c r="E38" s="16" t="s">
        <v>174</v>
      </c>
    </row>
    <row r="39" customFormat="false" ht="15" hidden="false" customHeight="false" outlineLevel="0" collapsed="false">
      <c r="A39" s="16" t="s">
        <v>146</v>
      </c>
      <c r="B39" s="14" t="n">
        <v>33178.3024089089</v>
      </c>
      <c r="C39" s="14" t="n">
        <v>34108.6801599433</v>
      </c>
      <c r="D39" s="14" t="n">
        <f aca="false">C39-B39</f>
        <v>930.377751034408</v>
      </c>
      <c r="E39" s="16" t="s">
        <v>175</v>
      </c>
    </row>
    <row r="40" customFormat="false" ht="15" hidden="false" customHeight="false" outlineLevel="0" collapsed="false">
      <c r="A40" s="16" t="s">
        <v>146</v>
      </c>
      <c r="B40" s="14" t="n">
        <v>34108.6801599433</v>
      </c>
      <c r="C40" s="14" t="n">
        <v>39194.0955245096</v>
      </c>
      <c r="D40" s="14" t="n">
        <f aca="false">C40-B40</f>
        <v>5085.41536456632</v>
      </c>
      <c r="E40" s="16" t="s">
        <v>174</v>
      </c>
    </row>
    <row r="41" customFormat="false" ht="15" hidden="false" customHeight="false" outlineLevel="0" collapsed="false">
      <c r="A41" s="16" t="s">
        <v>146</v>
      </c>
      <c r="B41" s="14" t="n">
        <v>39194.0955245096</v>
      </c>
      <c r="C41" s="14" t="n">
        <v>40422.9321366984</v>
      </c>
      <c r="D41" s="14" t="n">
        <f aca="false">C41-B41</f>
        <v>1228.8366121888</v>
      </c>
      <c r="E41" s="16" t="s">
        <v>175</v>
      </c>
    </row>
    <row r="42" customFormat="false" ht="15" hidden="false" customHeight="false" outlineLevel="0" collapsed="false">
      <c r="A42" s="16" t="s">
        <v>146</v>
      </c>
      <c r="B42" s="14" t="n">
        <v>40422.9321366984</v>
      </c>
      <c r="C42" s="14" t="n">
        <v>40636.9721726106</v>
      </c>
      <c r="D42" s="14" t="n">
        <f aca="false">C42-B42</f>
        <v>214.0400359122</v>
      </c>
      <c r="E42" s="16" t="s">
        <v>174</v>
      </c>
    </row>
    <row r="43" customFormat="false" ht="15" hidden="false" customHeight="false" outlineLevel="0" collapsed="false">
      <c r="A43" s="16" t="s">
        <v>146</v>
      </c>
      <c r="B43" s="14" t="n">
        <v>40636.9721726106</v>
      </c>
      <c r="C43" s="14" t="n">
        <v>42494.8686259525</v>
      </c>
      <c r="D43" s="14" t="n">
        <f aca="false">C43-B43</f>
        <v>1857.89645334191</v>
      </c>
      <c r="E43" s="16" t="s">
        <v>175</v>
      </c>
    </row>
    <row r="44" customFormat="false" ht="15" hidden="false" customHeight="false" outlineLevel="0" collapsed="false">
      <c r="A44" s="16" t="s">
        <v>146</v>
      </c>
      <c r="B44" s="14" t="n">
        <v>42494.8686259525</v>
      </c>
      <c r="C44" s="14" t="n">
        <v>42816.9505417936</v>
      </c>
      <c r="D44" s="14" t="n">
        <f aca="false">C44-B44</f>
        <v>322.081915841074</v>
      </c>
      <c r="E44" s="16" t="s">
        <v>177</v>
      </c>
    </row>
    <row r="45" customFormat="false" ht="15" hidden="false" customHeight="false" outlineLevel="0" collapsed="false">
      <c r="A45" s="16" t="s">
        <v>178</v>
      </c>
      <c r="B45" s="14" t="n">
        <v>42831.6197845487</v>
      </c>
      <c r="C45" s="14" t="n">
        <v>45514.7824123221</v>
      </c>
      <c r="D45" s="14" t="n">
        <f aca="false">C45-B45</f>
        <v>2683.16262777339</v>
      </c>
      <c r="E45" s="16" t="s">
        <v>179</v>
      </c>
    </row>
    <row r="46" customFormat="false" ht="15" hidden="false" customHeight="false" outlineLevel="0" collapsed="false">
      <c r="A46" s="16" t="s">
        <v>178</v>
      </c>
      <c r="B46" s="14" t="n">
        <v>45514.7824123221</v>
      </c>
      <c r="C46" s="14" t="n">
        <v>46336.3129595169</v>
      </c>
      <c r="D46" s="14" t="n">
        <f aca="false">C46-B46</f>
        <v>821.53054719475</v>
      </c>
      <c r="E46" s="16" t="s">
        <v>180</v>
      </c>
    </row>
    <row r="47" customFormat="false" ht="15" hidden="false" customHeight="false" outlineLevel="0" collapsed="false">
      <c r="A47" s="16" t="s">
        <v>178</v>
      </c>
      <c r="B47" s="14" t="n">
        <v>46336.3129595169</v>
      </c>
      <c r="C47" s="14" t="n">
        <v>48819.4261795818</v>
      </c>
      <c r="D47" s="14" t="n">
        <f aca="false">C47-B47</f>
        <v>2483.11322006494</v>
      </c>
      <c r="E47" s="16" t="s">
        <v>179</v>
      </c>
    </row>
    <row r="48" customFormat="false" ht="15" hidden="false" customHeight="false" outlineLevel="0" collapsed="false">
      <c r="A48" s="16" t="s">
        <v>178</v>
      </c>
      <c r="B48" s="14" t="n">
        <v>48819.4261795818</v>
      </c>
      <c r="C48" s="14" t="n">
        <v>49359.7411116805</v>
      </c>
      <c r="D48" s="14" t="n">
        <f aca="false">C48-B48</f>
        <v>540.314932098678</v>
      </c>
      <c r="E48" s="16" t="s">
        <v>180</v>
      </c>
    </row>
    <row r="49" customFormat="false" ht="15" hidden="false" customHeight="false" outlineLevel="0" collapsed="false">
      <c r="A49" s="16" t="s">
        <v>178</v>
      </c>
      <c r="B49" s="14" t="n">
        <v>49359.7411116805</v>
      </c>
      <c r="C49" s="14" t="n">
        <v>49976.9437585435</v>
      </c>
      <c r="D49" s="14" t="n">
        <f aca="false">C49-B49</f>
        <v>617.202646862999</v>
      </c>
      <c r="E49" s="16" t="s">
        <v>179</v>
      </c>
    </row>
    <row r="50" customFormat="false" ht="15" hidden="false" customHeight="false" outlineLevel="0" collapsed="false">
      <c r="A50" s="16" t="s">
        <v>178</v>
      </c>
      <c r="B50" s="14" t="n">
        <v>49976.9437585435</v>
      </c>
      <c r="C50" s="14" t="n">
        <v>51887.891719245</v>
      </c>
      <c r="D50" s="14" t="n">
        <f aca="false">C50-B50</f>
        <v>1910.94796070149</v>
      </c>
      <c r="E50" s="16" t="s">
        <v>180</v>
      </c>
    </row>
    <row r="51" customFormat="false" ht="15" hidden="false" customHeight="false" outlineLevel="0" collapsed="false">
      <c r="A51" s="16" t="s">
        <v>178</v>
      </c>
      <c r="B51" s="14" t="n">
        <v>51887.891719245</v>
      </c>
      <c r="C51" s="14" t="n">
        <v>52226.3845184093</v>
      </c>
      <c r="D51" s="14" t="n">
        <f aca="false">C51-B51</f>
        <v>338.49279916432</v>
      </c>
      <c r="E51" s="16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5" min="4" style="0" width="14"/>
    <col collapsed="false" customWidth="true" hidden="false" outlineLevel="0" max="6" min="6" style="0" width="12"/>
  </cols>
  <sheetData>
    <row r="1" customFormat="false" ht="16.15" hidden="false" customHeight="false" outlineLevel="0" collapsed="false">
      <c r="A1" s="10" t="s">
        <v>182</v>
      </c>
    </row>
    <row r="2" customFormat="false" ht="15" hidden="false" customHeight="false" outlineLevel="0" collapsed="false">
      <c r="A2" s="11" t="s">
        <v>183</v>
      </c>
    </row>
    <row r="4" customFormat="false" ht="39.75" hidden="false" customHeight="true" outlineLevel="0" collapsed="false">
      <c r="A4" s="12" t="s">
        <v>184</v>
      </c>
      <c r="B4" s="12" t="s">
        <v>185</v>
      </c>
      <c r="C4" s="12" t="s">
        <v>186</v>
      </c>
      <c r="D4" s="12" t="s">
        <v>187</v>
      </c>
      <c r="E4" s="12" t="s">
        <v>188</v>
      </c>
      <c r="F4" s="12" t="s">
        <v>39</v>
      </c>
    </row>
    <row r="5" customFormat="false" ht="15" hidden="false" customHeight="false" outlineLevel="0" collapsed="false">
      <c r="A5" s="13" t="s">
        <v>189</v>
      </c>
      <c r="B5" s="17" t="s">
        <v>190</v>
      </c>
      <c r="C5" s="17" t="s">
        <v>190</v>
      </c>
      <c r="D5" s="14" t="n">
        <v>11</v>
      </c>
      <c r="E5" s="14" t="n">
        <v>50</v>
      </c>
      <c r="F5" s="14" t="n">
        <f aca="false">E5-D5</f>
        <v>39</v>
      </c>
    </row>
    <row r="6" customFormat="false" ht="15" hidden="false" customHeight="false" outlineLevel="0" collapsed="false">
      <c r="A6" s="13" t="s">
        <v>191</v>
      </c>
      <c r="B6" s="17" t="s">
        <v>192</v>
      </c>
      <c r="C6" s="17" t="s">
        <v>193</v>
      </c>
      <c r="D6" s="14" t="n">
        <v>50</v>
      </c>
      <c r="E6" s="14" t="n">
        <v>1235</v>
      </c>
      <c r="F6" s="14" t="n">
        <f aca="false">E6-D6</f>
        <v>1185</v>
      </c>
    </row>
    <row r="7" customFormat="false" ht="15" hidden="false" customHeight="false" outlineLevel="0" collapsed="false">
      <c r="A7" s="13" t="s">
        <v>194</v>
      </c>
      <c r="B7" s="17" t="s">
        <v>195</v>
      </c>
      <c r="C7" s="17" t="s">
        <v>196</v>
      </c>
      <c r="D7" s="14" t="n">
        <v>1235</v>
      </c>
      <c r="E7" s="14" t="n">
        <v>1300</v>
      </c>
      <c r="F7" s="14" t="n">
        <f aca="false">E7-D7</f>
        <v>65</v>
      </c>
    </row>
    <row r="8" customFormat="false" ht="15" hidden="false" customHeight="false" outlineLevel="0" collapsed="false">
      <c r="A8" s="13" t="s">
        <v>197</v>
      </c>
      <c r="B8" s="17" t="s">
        <v>198</v>
      </c>
      <c r="C8" s="17" t="s">
        <v>199</v>
      </c>
      <c r="D8" s="14" t="n">
        <v>1300</v>
      </c>
      <c r="E8" s="14" t="n">
        <v>1945</v>
      </c>
      <c r="F8" s="14" t="n">
        <f aca="false">E8-D8</f>
        <v>645</v>
      </c>
    </row>
    <row r="9" customFormat="false" ht="23.85" hidden="false" customHeight="false" outlineLevel="0" collapsed="false">
      <c r="A9" s="13" t="s">
        <v>200</v>
      </c>
      <c r="B9" s="17" t="s">
        <v>201</v>
      </c>
      <c r="C9" s="17" t="s">
        <v>202</v>
      </c>
      <c r="D9" s="14" t="n">
        <v>1945</v>
      </c>
      <c r="E9" s="14" t="n">
        <v>1990</v>
      </c>
      <c r="F9" s="14" t="n">
        <f aca="false">E9-D9</f>
        <v>45</v>
      </c>
    </row>
    <row r="10" customFormat="false" ht="15" hidden="false" customHeight="false" outlineLevel="0" collapsed="false">
      <c r="A10" s="13" t="s">
        <v>203</v>
      </c>
      <c r="B10" s="17" t="s">
        <v>198</v>
      </c>
      <c r="C10" s="17" t="s">
        <v>199</v>
      </c>
      <c r="D10" s="14" t="n">
        <v>1990</v>
      </c>
      <c r="E10" s="14" t="n">
        <v>2600</v>
      </c>
      <c r="F10" s="14" t="n">
        <f aca="false">E10-D10</f>
        <v>610</v>
      </c>
    </row>
    <row r="11" customFormat="false" ht="23.85" hidden="false" customHeight="false" outlineLevel="0" collapsed="false">
      <c r="A11" s="13" t="s">
        <v>204</v>
      </c>
      <c r="B11" s="17" t="s">
        <v>205</v>
      </c>
      <c r="C11" s="17" t="s">
        <v>206</v>
      </c>
      <c r="D11" s="14" t="n">
        <v>2600</v>
      </c>
      <c r="E11" s="14" t="n">
        <v>2935</v>
      </c>
      <c r="F11" s="14" t="n">
        <f aca="false">E11-D11</f>
        <v>335</v>
      </c>
    </row>
    <row r="12" customFormat="false" ht="15" hidden="false" customHeight="false" outlineLevel="0" collapsed="false">
      <c r="A12" s="13" t="s">
        <v>207</v>
      </c>
      <c r="B12" s="17" t="s">
        <v>208</v>
      </c>
      <c r="C12" s="17" t="s">
        <v>209</v>
      </c>
      <c r="D12" s="14" t="n">
        <v>2935</v>
      </c>
      <c r="E12" s="14" t="n">
        <v>2970</v>
      </c>
      <c r="F12" s="14" t="n">
        <f aca="false">E12-D12</f>
        <v>35</v>
      </c>
    </row>
    <row r="13" customFormat="false" ht="15" hidden="false" customHeight="false" outlineLevel="0" collapsed="false">
      <c r="A13" s="13" t="s">
        <v>210</v>
      </c>
      <c r="B13" s="17" t="s">
        <v>211</v>
      </c>
      <c r="C13" s="17" t="s">
        <v>212</v>
      </c>
      <c r="D13" s="14" t="n">
        <v>2970</v>
      </c>
      <c r="E13" s="14" t="n">
        <v>3160</v>
      </c>
      <c r="F13" s="14" t="n">
        <f aca="false">E13-D13</f>
        <v>190</v>
      </c>
    </row>
    <row r="14" customFormat="false" ht="15" hidden="false" customHeight="false" outlineLevel="0" collapsed="false">
      <c r="A14" s="13" t="s">
        <v>213</v>
      </c>
      <c r="B14" s="17" t="s">
        <v>208</v>
      </c>
      <c r="C14" s="17" t="s">
        <v>209</v>
      </c>
      <c r="D14" s="14" t="n">
        <v>3160</v>
      </c>
      <c r="E14" s="14" t="n">
        <v>3850</v>
      </c>
      <c r="F14" s="14" t="n">
        <f aca="false">E14-D14</f>
        <v>690</v>
      </c>
    </row>
    <row r="15" customFormat="false" ht="15" hidden="false" customHeight="false" outlineLevel="0" collapsed="false">
      <c r="A15" s="13" t="s">
        <v>214</v>
      </c>
      <c r="B15" s="17" t="s">
        <v>215</v>
      </c>
      <c r="C15" s="17" t="s">
        <v>216</v>
      </c>
      <c r="D15" s="14" t="n">
        <v>3850</v>
      </c>
      <c r="E15" s="14" t="n">
        <v>4335</v>
      </c>
      <c r="F15" s="14" t="n">
        <f aca="false">E15-D15</f>
        <v>485</v>
      </c>
    </row>
    <row r="16" customFormat="false" ht="15" hidden="false" customHeight="false" outlineLevel="0" collapsed="false">
      <c r="A16" s="13" t="s">
        <v>217</v>
      </c>
      <c r="B16" s="17" t="s">
        <v>218</v>
      </c>
      <c r="C16" s="17" t="s">
        <v>77</v>
      </c>
      <c r="D16" s="14" t="n">
        <v>4335</v>
      </c>
      <c r="E16" s="14" t="n">
        <v>4870</v>
      </c>
      <c r="F16" s="14" t="n">
        <f aca="false">E16-D16</f>
        <v>535</v>
      </c>
    </row>
    <row r="17" customFormat="false" ht="15" hidden="false" customHeight="false" outlineLevel="0" collapsed="false">
      <c r="A17" s="13" t="s">
        <v>219</v>
      </c>
      <c r="B17" s="17" t="s">
        <v>220</v>
      </c>
      <c r="C17" s="17" t="s">
        <v>221</v>
      </c>
      <c r="D17" s="14" t="n">
        <v>4870</v>
      </c>
      <c r="E17" s="14" t="n">
        <v>6080</v>
      </c>
      <c r="F17" s="14" t="n">
        <f aca="false">E17-D17</f>
        <v>1210</v>
      </c>
    </row>
    <row r="18" customFormat="false" ht="15" hidden="false" customHeight="false" outlineLevel="0" collapsed="false">
      <c r="A18" s="13" t="s">
        <v>222</v>
      </c>
      <c r="B18" s="17" t="s">
        <v>223</v>
      </c>
      <c r="C18" s="17" t="s">
        <v>224</v>
      </c>
      <c r="D18" s="14" t="n">
        <v>6080</v>
      </c>
      <c r="E18" s="14" t="n">
        <v>7750</v>
      </c>
      <c r="F18" s="14" t="n">
        <f aca="false">E18-D18</f>
        <v>1670</v>
      </c>
    </row>
    <row r="19" customFormat="false" ht="15" hidden="false" customHeight="false" outlineLevel="0" collapsed="false">
      <c r="A19" s="13" t="s">
        <v>225</v>
      </c>
      <c r="B19" s="17" t="s">
        <v>226</v>
      </c>
      <c r="C19" s="17" t="s">
        <v>77</v>
      </c>
      <c r="D19" s="14" t="n">
        <v>7750</v>
      </c>
      <c r="E19" s="14" t="n">
        <v>7830</v>
      </c>
      <c r="F19" s="14" t="n">
        <f aca="false">E19-D19</f>
        <v>80</v>
      </c>
    </row>
    <row r="20" customFormat="false" ht="15" hidden="false" customHeight="false" outlineLevel="0" collapsed="false">
      <c r="A20" s="13" t="s">
        <v>227</v>
      </c>
      <c r="B20" s="17" t="s">
        <v>228</v>
      </c>
      <c r="C20" s="17" t="s">
        <v>229</v>
      </c>
      <c r="D20" s="14" t="n">
        <v>7830</v>
      </c>
      <c r="E20" s="14" t="n">
        <v>8105</v>
      </c>
      <c r="F20" s="14" t="n">
        <f aca="false">E20-D20</f>
        <v>275</v>
      </c>
    </row>
    <row r="21" customFormat="false" ht="15" hidden="false" customHeight="false" outlineLevel="0" collapsed="false">
      <c r="A21" s="13" t="s">
        <v>230</v>
      </c>
      <c r="B21" s="17" t="s">
        <v>231</v>
      </c>
      <c r="C21" s="17" t="s">
        <v>231</v>
      </c>
      <c r="D21" s="14" t="n">
        <v>8105</v>
      </c>
      <c r="E21" s="14" t="n">
        <v>8542</v>
      </c>
      <c r="F21" s="14" t="n">
        <f aca="false">E21-D21</f>
        <v>437</v>
      </c>
    </row>
    <row r="22" customFormat="false" ht="15" hidden="false" customHeight="false" outlineLevel="0" collapsed="false">
      <c r="A22" s="11" t="s">
        <v>232</v>
      </c>
    </row>
    <row r="24" customFormat="false" ht="16.15" hidden="false" customHeight="false" outlineLevel="0" collapsed="false">
      <c r="A24" s="10" t="s">
        <v>233</v>
      </c>
    </row>
    <row r="25" customFormat="false" ht="39.75" hidden="false" customHeight="true" outlineLevel="0" collapsed="false">
      <c r="A25" s="12" t="s">
        <v>144</v>
      </c>
      <c r="B25" s="12" t="s">
        <v>234</v>
      </c>
    </row>
    <row r="26" customFormat="false" ht="15" hidden="false" customHeight="false" outlineLevel="0" collapsed="false">
      <c r="A26" s="13" t="s">
        <v>235</v>
      </c>
      <c r="B26" s="14" t="n">
        <v>522</v>
      </c>
    </row>
    <row r="27" customFormat="false" ht="15" hidden="false" customHeight="false" outlineLevel="0" collapsed="false">
      <c r="A27" s="13" t="s">
        <v>236</v>
      </c>
      <c r="B27" s="14" t="n">
        <v>185</v>
      </c>
    </row>
    <row r="28" customFormat="false" ht="15" hidden="false" customHeight="false" outlineLevel="0" collapsed="false">
      <c r="A28" s="13" t="s">
        <v>237</v>
      </c>
      <c r="B28" s="14" t="n">
        <v>70</v>
      </c>
    </row>
    <row r="29" customFormat="false" ht="15" hidden="false" customHeight="false" outlineLevel="0" collapsed="false">
      <c r="A29" s="13" t="s">
        <v>238</v>
      </c>
      <c r="B29" s="14" t="n">
        <v>436</v>
      </c>
    </row>
    <row r="30" customFormat="false" ht="15" hidden="false" customHeight="false" outlineLevel="0" collapsed="false">
      <c r="A30" s="13" t="s">
        <v>239</v>
      </c>
      <c r="B30" s="14" t="n">
        <v>515</v>
      </c>
    </row>
    <row r="31" customFormat="false" ht="15" hidden="false" customHeight="false" outlineLevel="0" collapsed="false">
      <c r="A31" s="13" t="s">
        <v>240</v>
      </c>
      <c r="B31" s="14" t="n">
        <v>590</v>
      </c>
    </row>
    <row r="32" customFormat="false" ht="15" hidden="false" customHeight="false" outlineLevel="0" collapsed="false">
      <c r="A32" s="13" t="s">
        <v>241</v>
      </c>
      <c r="B32" s="14" t="n">
        <v>440</v>
      </c>
    </row>
    <row r="33" customFormat="false" ht="15" hidden="false" customHeight="false" outlineLevel="0" collapsed="false">
      <c r="A33" s="13" t="s">
        <v>242</v>
      </c>
      <c r="B33" s="14" t="n">
        <v>60</v>
      </c>
    </row>
    <row r="34" customFormat="false" ht="15" hidden="false" customHeight="false" outlineLevel="0" collapsed="false">
      <c r="A34" s="13" t="s">
        <v>86</v>
      </c>
      <c r="B34" s="18" t="n">
        <f aca="false">SUM(B26:B33)</f>
        <v>2818</v>
      </c>
    </row>
    <row r="35" customFormat="false" ht="15" hidden="false" customHeight="false" outlineLevel="0" collapsed="false">
      <c r="A35" s="13" t="s">
        <v>243</v>
      </c>
      <c r="B35" s="19" t="n">
        <f aca="false">B34/8562</f>
        <v>0.329128708245737</v>
      </c>
    </row>
    <row r="36" customFormat="false" ht="15" hidden="false" customHeight="false" outlineLevel="0" collapsed="false">
      <c r="A36" s="11" t="s">
        <v>244</v>
      </c>
    </row>
    <row r="38" customFormat="false" ht="16.15" hidden="false" customHeight="false" outlineLevel="0" collapsed="false">
      <c r="A38" s="10" t="s">
        <v>245</v>
      </c>
    </row>
    <row r="39" customFormat="false" ht="39.75" hidden="false" customHeight="true" outlineLevel="0" collapsed="false">
      <c r="A39" s="12" t="s">
        <v>184</v>
      </c>
      <c r="B39" s="12" t="s">
        <v>246</v>
      </c>
    </row>
    <row r="40" customFormat="false" ht="68.65" hidden="false" customHeight="false" outlineLevel="0" collapsed="false">
      <c r="A40" s="17" t="s">
        <v>247</v>
      </c>
      <c r="B40" s="16" t="s">
        <v>248</v>
      </c>
    </row>
    <row r="41" customFormat="false" ht="46.25" hidden="false" customHeight="false" outlineLevel="0" collapsed="false">
      <c r="A41" s="17" t="s">
        <v>249</v>
      </c>
      <c r="B41" s="16" t="s">
        <v>250</v>
      </c>
    </row>
    <row r="42" customFormat="false" ht="79.85" hidden="false" customHeight="false" outlineLevel="0" collapsed="false">
      <c r="A42" s="17" t="s">
        <v>251</v>
      </c>
      <c r="B42" s="16" t="s">
        <v>252</v>
      </c>
    </row>
    <row r="43" customFormat="false" ht="113.4" hidden="false" customHeight="false" outlineLevel="0" collapsed="false">
      <c r="A43" s="17" t="s">
        <v>253</v>
      </c>
      <c r="B43" s="16" t="s">
        <v>254</v>
      </c>
    </row>
    <row r="45" customFormat="false" ht="15" hidden="false" customHeight="false" outlineLevel="0" collapsed="false">
      <c r="A45" s="11" t="s">
        <v>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0"/>
    <col collapsed="false" customWidth="true" hidden="false" outlineLevel="0" max="3" min="3" style="0" width="80"/>
  </cols>
  <sheetData>
    <row r="1" customFormat="false" ht="16.15" hidden="false" customHeight="false" outlineLevel="0" collapsed="false">
      <c r="A1" s="10" t="s">
        <v>256</v>
      </c>
    </row>
    <row r="3" customFormat="false" ht="39.75" hidden="false" customHeight="true" outlineLevel="0" collapsed="false">
      <c r="A3" s="12" t="s">
        <v>257</v>
      </c>
      <c r="B3" s="12" t="s">
        <v>258</v>
      </c>
    </row>
    <row r="4" customFormat="false" ht="15" hidden="false" customHeight="false" outlineLevel="0" collapsed="false">
      <c r="A4" s="13" t="s">
        <v>203</v>
      </c>
      <c r="B4" s="16" t="s">
        <v>259</v>
      </c>
    </row>
    <row r="5" customFormat="false" ht="15" hidden="false" customHeight="false" outlineLevel="0" collapsed="false">
      <c r="A5" s="13" t="s">
        <v>260</v>
      </c>
      <c r="B5" s="16" t="s">
        <v>261</v>
      </c>
    </row>
    <row r="6" customFormat="false" ht="15" hidden="false" customHeight="false" outlineLevel="0" collapsed="false">
      <c r="A6" s="13" t="s">
        <v>207</v>
      </c>
      <c r="B6" s="16" t="s">
        <v>262</v>
      </c>
    </row>
    <row r="7" customFormat="false" ht="15" hidden="false" customHeight="false" outlineLevel="0" collapsed="false">
      <c r="A7" s="13" t="s">
        <v>263</v>
      </c>
      <c r="B7" s="16" t="s">
        <v>264</v>
      </c>
    </row>
    <row r="10" customFormat="false" ht="16.15" hidden="false" customHeight="false" outlineLevel="0" collapsed="false">
      <c r="A10" s="10" t="s">
        <v>265</v>
      </c>
    </row>
    <row r="11" customFormat="false" ht="19.5" hidden="false" customHeight="true" outlineLevel="0" collapsed="false">
      <c r="A11" s="12" t="s">
        <v>266</v>
      </c>
      <c r="B11" s="12" t="s">
        <v>152</v>
      </c>
      <c r="C11" s="12" t="s">
        <v>267</v>
      </c>
    </row>
    <row r="12" customFormat="false" ht="33.75" hidden="false" customHeight="true" outlineLevel="0" collapsed="false">
      <c r="A12" s="13" t="s">
        <v>268</v>
      </c>
      <c r="B12" s="17" t="s">
        <v>269</v>
      </c>
      <c r="C12" s="17" t="s">
        <v>270</v>
      </c>
    </row>
    <row r="13" customFormat="false" ht="33.75" hidden="false" customHeight="true" outlineLevel="0" collapsed="false">
      <c r="A13" s="13" t="s">
        <v>271</v>
      </c>
      <c r="B13" s="17" t="s">
        <v>272</v>
      </c>
      <c r="C13" s="17" t="s">
        <v>273</v>
      </c>
    </row>
    <row r="14" customFormat="false" ht="33.75" hidden="false" customHeight="true" outlineLevel="0" collapsed="false">
      <c r="A14" s="13" t="s">
        <v>274</v>
      </c>
      <c r="B14" s="17" t="s">
        <v>275</v>
      </c>
      <c r="C14" s="17" t="s">
        <v>276</v>
      </c>
    </row>
    <row r="15" customFormat="false" ht="33.75" hidden="false" customHeight="true" outlineLevel="0" collapsed="false">
      <c r="A15" s="13" t="s">
        <v>277</v>
      </c>
      <c r="B15" s="17" t="s">
        <v>278</v>
      </c>
      <c r="C15" s="17" t="s">
        <v>279</v>
      </c>
    </row>
    <row r="16" customFormat="false" ht="33.75" hidden="false" customHeight="true" outlineLevel="0" collapsed="false">
      <c r="A16" s="13" t="s">
        <v>280</v>
      </c>
      <c r="B16" s="17" t="s">
        <v>281</v>
      </c>
      <c r="C16" s="17" t="s">
        <v>282</v>
      </c>
    </row>
    <row r="17" customFormat="false" ht="33.75" hidden="false" customHeight="true" outlineLevel="0" collapsed="false">
      <c r="A17" s="13" t="s">
        <v>283</v>
      </c>
      <c r="B17" s="17" t="s">
        <v>284</v>
      </c>
      <c r="C17" s="17" t="s">
        <v>285</v>
      </c>
    </row>
    <row r="18" customFormat="false" ht="33.75" hidden="false" customHeight="true" outlineLevel="0" collapsed="false">
      <c r="A18" s="13" t="s">
        <v>286</v>
      </c>
      <c r="B18" s="17" t="s">
        <v>287</v>
      </c>
      <c r="C18" s="17" t="s">
        <v>288</v>
      </c>
    </row>
    <row r="19" customFormat="false" ht="33.75" hidden="false" customHeight="true" outlineLevel="0" collapsed="false">
      <c r="A19" s="13" t="s">
        <v>289</v>
      </c>
      <c r="B19" s="17" t="s">
        <v>290</v>
      </c>
      <c r="C19" s="17" t="s">
        <v>291</v>
      </c>
    </row>
    <row r="20" customFormat="false" ht="33.75" hidden="false" customHeight="true" outlineLevel="0" collapsed="false">
      <c r="A20" s="13" t="s">
        <v>292</v>
      </c>
      <c r="B20" s="17" t="s">
        <v>293</v>
      </c>
      <c r="C20" s="17" t="s">
        <v>294</v>
      </c>
    </row>
    <row r="21" customFormat="false" ht="33.75" hidden="false" customHeight="true" outlineLevel="0" collapsed="false">
      <c r="A21" s="13" t="s">
        <v>295</v>
      </c>
      <c r="B21" s="17" t="s">
        <v>296</v>
      </c>
      <c r="C21" s="17" t="s">
        <v>297</v>
      </c>
    </row>
    <row r="23" customFormat="false" ht="15" hidden="false" customHeight="false" outlineLevel="0" collapsed="false">
      <c r="A23" s="11" t="s">
        <v>298</v>
      </c>
    </row>
    <row r="24" customFormat="false" ht="15" hidden="false" customHeight="false" outlineLevel="0" collapsed="false">
      <c r="A24" s="11" t="s">
        <v>299</v>
      </c>
    </row>
    <row r="25" customFormat="false" ht="15" hidden="false" customHeight="false" outlineLevel="0" collapsed="false">
      <c r="A25" s="11" t="s">
        <v>300</v>
      </c>
    </row>
    <row r="26" customFormat="false" ht="15" hidden="false" customHeight="false" outlineLevel="0" collapsed="false">
      <c r="A26" s="11" t="s">
        <v>301</v>
      </c>
    </row>
    <row r="27" customFormat="false" ht="15" hidden="false" customHeight="false" outlineLevel="0" collapsed="false">
      <c r="A27" s="11" t="s">
        <v>302</v>
      </c>
    </row>
    <row r="28" customFormat="false" ht="15" hidden="false" customHeight="false" outlineLevel="0" collapsed="false">
      <c r="A28" s="11" t="s">
        <v>303</v>
      </c>
    </row>
    <row r="29" customFormat="false" ht="15" hidden="false" customHeight="false" outlineLevel="0" collapsed="false">
      <c r="A29" s="11" t="s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2026-09-29T14:39:34Z</dcterms:created>
  <dc:creator>openpyxl</dc:creator>
  <dc:description/>
  <dc:language>en-US</dc:language>
  <cp:lastModifiedBy/>
  <dcterms:modified xsi:type="dcterms:W3CDTF">2026-09-29T14:39:34Z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