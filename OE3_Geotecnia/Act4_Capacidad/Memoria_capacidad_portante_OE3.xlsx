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Entradas" sheetId="3" state="visible" r:id="rId5"/>
    <sheet name="Cálculo" sheetId="4" state="visible" r:id="rId6"/>
    <sheet name="Chequeo H.2.4-1" sheetId="5" state="visible" r:id="rId7"/>
    <sheet name="Verificación" sheetId="6" state="visible" r:id="rId8"/>
    <sheet name="Limitaciones" sheetId="7" state="visible" r:id="rId9"/>
    <sheet name="Marcas y 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<sst xmlns="http://schemas.openxmlformats.org/spreadsheetml/2006/main" count="634" uniqueCount="267">
  <si>
    <t xml:space="preserve">Memoria de cálculo de la capacidad portante admisible</t>
  </si>
  <si>
    <t xml:space="preserve">Objetivo específico 3 · Actividad 4 — Formulación de Meyerhof bajo el Título H de la NSR-10</t>
  </si>
  <si>
    <t xml:space="preserve">Objetivo</t>
  </si>
  <si>
    <t xml:space="preserve">OE 3: Estimar la capacidad portante preliminar del terreno de fundación de las infraestructuras de superficie en los portales de Ibagué y Armenia</t>
  </si>
  <si>
    <t xml:space="preserve">Actividad</t>
  </si>
  <si>
    <t xml:space="preserve">4. Cálculo de la capacidad portante admisible por la formulación de Meyerhof (NSR-10, Título H)</t>
  </si>
  <si>
    <t xml:space="preserve">Entregable / formato</t>
  </si>
  <si>
    <t xml:space="preserve">Memoria de cálculo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</si>
  <si>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</si>
  <si>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</si>
  <si>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</si>
  <si>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Tamayo Osorio Miguel Ángel</t>
  </si>
  <si>
    <t xml:space="preserve">Semillero</t>
  </si>
  <si>
    <t xml:space="preserve">Semillero de Investigación GEOPAV · Ingeniería Civil · Universidad de Ibagué · Paz y Región 2026B</t>
  </si>
  <si>
    <t xml:space="preserve">Portales</t>
  </si>
  <si>
    <t xml:space="preserve">Oriental (Ibagué) sobre suelo S1 · Occidental (municipio de Calarcá) sobre suelo S2</t>
  </si>
  <si>
    <t xml:space="preserve">Fecha de elaboración</t>
  </si>
  <si>
    <t xml:space="preserve">28 sep 2026</t>
  </si>
  <si>
    <t xml:space="preserve">Advertencia</t>
  </si>
  <si>
    <t xml:space="preserve">RESULTADO NO APTO PARA DISEÑO. Ningún parámetro proviene de exploración en los portales: son análogos publicados e hipótesis declaradas (Act 3). La capacidad admisible se entrega como RANGO para mostrar la sensibilidad y dimensionar la exploración que exige la NSR-10 (capítulo H.3) antes de cualquier diseño.</t>
  </si>
  <si>
    <t xml:space="preserve">Índice de hojas (tabla de contenido)</t>
  </si>
  <si>
    <t xml:space="preserve">Resumen</t>
  </si>
  <si>
    <t xml:space="preserve">Tabla 1. Capacidad admisible por portal y ancho de zapata (rango, FS 3,0)</t>
  </si>
  <si>
    <t xml:space="preserve">Entradas</t>
  </si>
  <si>
    <t xml:space="preserve">Tabla 2. Parámetros del suelo (desde la Act 3) · Tabla 3. Hipótesis de cálculo · Tabla 4. Factores de seguridad NSR-10</t>
  </si>
  <si>
    <t xml:space="preserve">Cálculo</t>
  </si>
  <si>
    <t xml:space="preserve">Tabla 5. Meyerhof: factores, capacidad última, admisible por falla y por asentamiento (36 casos)</t>
  </si>
  <si>
    <t xml:space="preserve">Chequeo H.2.4-1</t>
  </si>
  <si>
    <t xml:space="preserve">Tabla 6. Factor de seguridad directo equivalente frente a la tabla H.2.4-1</t>
  </si>
  <si>
    <t xml:space="preserve">Verificación</t>
  </si>
  <si>
    <t xml:space="preserve">Tabla 7. Control de los factores Nc, Nq, Nγ contra la tabla 4-4 de EM 1110-1-1905</t>
  </si>
  <si>
    <t xml:space="preserve">Limitaciones</t>
  </si>
  <si>
    <t xml:space="preserve">Tabla 8. Qué no afirma esta memoria · Tabla 9. Exploración mínima para convertir el rango en diseño</t>
  </si>
  <si>
    <t xml:space="preserve">Marcas y fuentes</t>
  </si>
  <si>
    <t xml:space="preserve">Tabla 10. Marcas F / CP / H · Tabla 11. Fuentes citadas</t>
  </si>
  <si>
    <t xml:space="preserve">Índice de tablas: tablas 1 a 11, una o dos por hoja, según el índice de hojas. Índice de figuras: no tiene figuras. Índice de anexos: no tiene anexos; las fuentes descargadas se listan en la tabla 11. Convención: texto azul = entrada editable; texto verde = valor enlazado desde otra hoja; fondo amarillo = hipótesis [H]; fondo verde = resultado. Elaborado con apoyo de IA (Claude) y verificado contra las fuentes citadas, leídas en el original descargado. Script: OE3_Geotecnia/Act4_Capacidad/memoria_capacidad_portante_OE3.py</t>
  </si>
  <si>
    <t xml:space="preserve">Tabla 1. Capacidad portante admisible por portal y ancho de zapata — CM + CV normal (FS 3,0), NSR-10 H.4.2.3</t>
  </si>
  <si>
    <t xml:space="preserve">Rango, no valor de diseño. Mínimo: parámetros mínimos y NF en la base. Máximo: parámetros máximos y NF profundo. Df = 1,5 m. Valores en kPa, desde la hoja «Cálculo».</t>
  </si>
  <si>
    <t xml:space="preserve">Portal</t>
  </si>
  <si>
    <t xml:space="preserve">Suelo</t>
  </si>
  <si>
    <t xml:space="preserve">B (m)</t>
  </si>
  <si>
    <t xml:space="preserve">Mínimo</t>
  </si>
  <si>
    <t xml:space="preserve">Típico, NF en la base</t>
  </si>
  <si>
    <t xml:space="preserve">Típico, NF profundo</t>
  </si>
  <si>
    <t xml:space="preserve">Máximo</t>
  </si>
  <si>
    <t xml:space="preserve">Gobierna en el típico con NF profundo</t>
  </si>
  <si>
    <t xml:space="preserve">qult típico, NF profundo</t>
  </si>
  <si>
    <t xml:space="preserve">Oriental (Ibagué)</t>
  </si>
  <si>
    <t xml:space="preserve">S1 · suelo residual sobre PCAn / Jcdi (análogo del Batolito Antioqueño)</t>
  </si>
  <si>
    <t xml:space="preserve">Occidental (Calarcá)</t>
  </si>
  <si>
    <t xml:space="preserve">S2 · cobertura de cenizas alofánicas sobre Kqs / Kqv (análogo de Pereira)</t>
  </si>
  <si>
    <t xml:space="preserve">Cómo leerlo: la amplitud entre «Mínimo» y «Máximo» mide la incertidumbre de los parámetros análogos. Solo la exploración del capítulo H.3 (hoja «Limitaciones») permite cerrarla.</t>
  </si>
  <si>
    <t xml:space="preserve">Donde gobierna el asentamiento, aumentar B no aumenta la admisible: el límite lo pone el módulo E [H], no la resistencia al corte.</t>
  </si>
  <si>
    <t xml:space="preserve">Fuente: hoja «Cálculo» (Tabla 5). Marcas: resultados [CP]; entradas F y H según la Tabla 2.</t>
  </si>
  <si>
    <t xml:space="preserve">Tabla 2. Parámetros del suelo de fundación (leídos del producto de la Act 3) y módulo de deformación</t>
  </si>
  <si>
    <t xml:space="preserve">c, φ y γ: copiados por el script desde Cuadro_parametros_adoptados_OE3.xlsx (hoja «Suelos»); no se editan aquí. E y ν: FHWA NHI-06-088, tabla 5-16.</t>
  </si>
  <si>
    <t xml:space="preserve">Juego</t>
  </si>
  <si>
    <t xml:space="preserve">Parámetro</t>
  </si>
  <si>
    <t xml:space="preserve">Unidad</t>
  </si>
  <si>
    <t xml:space="preserve">Típico</t>
  </si>
  <si>
    <t xml:space="preserve">Marca</t>
  </si>
  <si>
    <t xml:space="preserve">Origen</t>
  </si>
  <si>
    <t xml:space="preserve">S1</t>
  </si>
  <si>
    <t xml:space="preserve">c′ (cohesión efectiva)</t>
  </si>
  <si>
    <t xml:space="preserve">kPa</t>
  </si>
  <si>
    <t xml:space="preserve">F</t>
  </si>
  <si>
    <t xml:space="preserve">Act 3, hoja Suelos, fila 5 (fuente CAR74)</t>
  </si>
  <si>
    <t xml:space="preserve">φ′ (ángulo de fricción efectivo)</t>
  </si>
  <si>
    <t xml:space="preserve">°</t>
  </si>
  <si>
    <t xml:space="preserve">Act 3, hoja Suelos, fila 6 (fuente CAR74)</t>
  </si>
  <si>
    <t xml:space="preserve">γ (peso unitario total)</t>
  </si>
  <si>
    <t xml:space="preserve">kN/m³</t>
  </si>
  <si>
    <t xml:space="preserve">H</t>
  </si>
  <si>
    <t xml:space="preserve">Act 3, hoja Suelos, fila 7 (fuente —)</t>
  </si>
  <si>
    <t xml:space="preserve">E (módulo de Young, drenado equivalente)</t>
  </si>
  <si>
    <t xml:space="preserve">F / H</t>
  </si>
  <si>
    <t xml:space="preserve">FHWA 088 tabla 5-16, Limo arenoso residual → fila «Silt» 20-200 tsf [H: asignación]. Típico = punto medio [H].</t>
  </si>
  <si>
    <t xml:space="preserve">ν (relación de Poisson)</t>
  </si>
  <si>
    <t xml:space="preserve">—</t>
  </si>
  <si>
    <t xml:space="preserve">FHWA 088 tabla 5-16: 0,30-0,35; se adopta un valor único [H].</t>
  </si>
  <si>
    <t xml:space="preserve">S2</t>
  </si>
  <si>
    <t xml:space="preserve">c (cohesión, ensayo UU)</t>
  </si>
  <si>
    <t xml:space="preserve">Act 3, hoja Suelos, fila 8 (fuente BBM13)</t>
  </si>
  <si>
    <t xml:space="preserve">φ (ángulo de fricción, UU)</t>
  </si>
  <si>
    <t xml:space="preserve">Act 3, hoja Suelos, fila 9 (fuente BBM13)</t>
  </si>
  <si>
    <t xml:space="preserve">γ (peso unitario húmedo)</t>
  </si>
  <si>
    <t xml:space="preserve">Act 3, hoja Suelos, fila 10 (fuente BBM13)</t>
  </si>
  <si>
    <t xml:space="preserve">FHWA 088 tabla 5-16, Ceniza alofánica CL-SC, sensible al saturarse → fila «Clay: soft sensitive» 25-150 tsf [H: asignación]. Típico = punto medio [H].</t>
  </si>
  <si>
    <t xml:space="preserve">FHWA 088 tabla 5-16: 0,4-0,5 (no drenado); se adopta un valor único [H].</t>
  </si>
  <si>
    <t xml:space="preserve">Tabla 3. Hipótesis de cálculo</t>
  </si>
  <si>
    <t xml:space="preserve">#</t>
  </si>
  <si>
    <t xml:space="preserve">Hipótesis</t>
  </si>
  <si>
    <t xml:space="preserve">Valor</t>
  </si>
  <si>
    <t xml:space="preserve">Justificación</t>
  </si>
  <si>
    <t xml:space="preserve">Df, profundidad de desplante</t>
  </si>
  <si>
    <t xml:space="preserve">m</t>
  </si>
  <si>
    <t xml:space="preserve">Zapata aislada típica de nave o marquesina de terminal; la fuente no trae estructuras de las terminales Ro-Ro.</t>
  </si>
  <si>
    <t xml:space="preserve">γw, peso unitario del agua</t>
  </si>
  <si>
    <t xml:space="preserve">Constante física.</t>
  </si>
  <si>
    <t xml:space="preserve">ρadm, asentamiento admisible</t>
  </si>
  <si>
    <t xml:space="preserve">Conservador frente a NSR-10 H.4.9: si el diferencial ≈ total (portales sobre contactos litológicos), 25 mm ≈ A/300 con A = 7,5 m (pórticos de concreto, tabla H.4.9-1). Límite total NSR-10 H.4.9.2: 300 mm.</t>
  </si>
  <si>
    <t xml:space="preserve">Cd, factor de forma y rigidez</t>
  </si>
  <si>
    <t xml:space="preserve">FHWA 089 tabla 8-13, cuadrada rígida (0,99).</t>
  </si>
  <si>
    <t xml:space="preserve">B'/W', relación ancho/largo</t>
  </si>
  <si>
    <t xml:space="preserve">Zapata cuadrada, carga centrada (sin excentricidad ni inclinación).</t>
  </si>
  <si>
    <t xml:space="preserve">1 tsf en kPa</t>
  </si>
  <si>
    <t xml:space="preserve">FHWA 088, nota de la tabla 5-16.</t>
  </si>
  <si>
    <t xml:space="preserve">Tabla 4. Factores de seguridad del Título H de la NSR-10 (verificados en el texto de la norma)</t>
  </si>
  <si>
    <t xml:space="preserve">Condición</t>
  </si>
  <si>
    <t xml:space="preserve">FSICP mín. (tabla H.4.7-1)</t>
  </si>
  <si>
    <t xml:space="preserve">FSBM mín. diseño (tabla H.2.4-1)</t>
  </si>
  <si>
    <t xml:space="preserve">CM + CV normal</t>
  </si>
  <si>
    <t xml:space="preserve">CM + CV máxima</t>
  </si>
  <si>
    <t xml:space="preserve">CM + CV normal + sismo seudoestático</t>
  </si>
  <si>
    <t xml:space="preserve">Fuente: NSR-10 Título H, H.4.7.1 (tabla H.4.7-1) y H.2.4.3 (tabla H.2.4-1). La NSR-10 no impone Meyerhof: H.4.2.1 admite métodos analíticos con experiencia documentada.</t>
  </si>
  <si>
    <t xml:space="preserve">Tabla 5. Capacidad portante por Meyerhof (1963) y admisible según NSR-10 H.4.2.3 — zapatas cuadradas, carga vertical centrada</t>
  </si>
  <si>
    <t xml:space="preserve">qult = c·Nc·sc·dc + q·Nq·sq·dq + ½·γ'·B·Nγ·sγ·dγ (EM 1110-1-1905 ec. 4-1 y tabla 4-3). q = γ·Df. γ' = γ − γw con NF en la base; γ' = γ con NF profundo. Asentamiento: ρ = Cd·Δp·B·(1−ν²)/E (FHWA 089 ec. 8-19) → q_s = ρadm·E/(Cd·B·(1−ν²)) + γ·Df. Todo [CP].</t>
  </si>
  <si>
    <t xml:space="preserve">Columnas auxiliares: resistencia reducida por el FSBM de la tabla H.2.4-1 (c/FSBM y arctan(tanφ/FSBM))</t>
  </si>
  <si>
    <t xml:space="preserve">Caso</t>
  </si>
  <si>
    <t xml:space="preserve">Nivel freático</t>
  </si>
  <si>
    <t xml:space="preserve">c (kPa)</t>
  </si>
  <si>
    <t xml:space="preserve">φ (°)</t>
  </si>
  <si>
    <t xml:space="preserve">γ (kN/m³)</t>
  </si>
  <si>
    <t xml:space="preserve">γ' bajo la base</t>
  </si>
  <si>
    <t xml:space="preserve">q = γ·Df (kPa)</t>
  </si>
  <si>
    <t xml:space="preserve">Nφ = tan²(45+φ/2)</t>
  </si>
  <si>
    <t xml:space="preserve">Nq</t>
  </si>
  <si>
    <t xml:space="preserve">Nc</t>
  </si>
  <si>
    <t xml:space="preserve">Nγ</t>
  </si>
  <si>
    <t xml:space="preserve">sc</t>
  </si>
  <si>
    <t xml:space="preserve">sq = sγ</t>
  </si>
  <si>
    <t xml:space="preserve">dc</t>
  </si>
  <si>
    <t xml:space="preserve">dq = dγ</t>
  </si>
  <si>
    <t xml:space="preserve">qult (kPa)</t>
  </si>
  <si>
    <t xml:space="preserve">qult / FSICP 3,0 (kPa)</t>
  </si>
  <si>
    <t xml:space="preserve">qult con resistencia ÷ FSBM 1,50 (kPa)</t>
  </si>
  <si>
    <t xml:space="preserve">qadm por falla (kPa)</t>
  </si>
  <si>
    <t xml:space="preserve">E (kPa)</t>
  </si>
  <si>
    <t xml:space="preserve">q por asentamiento (kPa)</t>
  </si>
  <si>
    <t xml:space="preserve">qadm NSR-10 H.4.2.3 (kPa)</t>
  </si>
  <si>
    <t xml:space="preserve">Gobierna</t>
  </si>
  <si>
    <t xml:space="preserve">qadm falla CM+CV máx. (kPa)</t>
  </si>
  <si>
    <t xml:space="preserve">qadm falla con sismo (kPa)</t>
  </si>
  <si>
    <t xml:space="preserve">φ/FSB 1,50 (°)</t>
  </si>
  <si>
    <t xml:space="preserve">Nφ (1,50)</t>
  </si>
  <si>
    <t xml:space="preserve">Nq (1,50)</t>
  </si>
  <si>
    <t xml:space="preserve">Nc (1,50)</t>
  </si>
  <si>
    <t xml:space="preserve">Nγ (1,50)</t>
  </si>
  <si>
    <t xml:space="preserve">qult reducida 1,50 (kPa)</t>
  </si>
  <si>
    <t xml:space="preserve">φ/FSB 1,25 (°)</t>
  </si>
  <si>
    <t xml:space="preserve">Nφ (1,25)</t>
  </si>
  <si>
    <t xml:space="preserve">Nq (1,25)</t>
  </si>
  <si>
    <t xml:space="preserve">Nc (1,25)</t>
  </si>
  <si>
    <t xml:space="preserve">Nγ (1,25)</t>
  </si>
  <si>
    <t xml:space="preserve">qult reducida 1,25 (kPa)</t>
  </si>
  <si>
    <t xml:space="preserve">φ/FSB 1,10 (°)</t>
  </si>
  <si>
    <t xml:space="preserve">Nφ (1,10)</t>
  </si>
  <si>
    <t xml:space="preserve">Nq (1,10)</t>
  </si>
  <si>
    <t xml:space="preserve">Nc (1,10)</t>
  </si>
  <si>
    <t xml:space="preserve">Nγ (1,10)</t>
  </si>
  <si>
    <t xml:space="preserve">qult reducida 1,10 (kPa)</t>
  </si>
  <si>
    <t xml:space="preserve">NF en la base</t>
  </si>
  <si>
    <t xml:space="preserve">NF profundo</t>
  </si>
  <si>
    <t xml:space="preserve">Admisible por falla (col. V) = menor entre qult/FSICP (tabla H.4.7-1) y la presión que agota la resistencia reducida por el FSBM (tabla H.2.4-1): así se cumple H.4.7.1, que exige demostrar ambos. Con φ alto el FSICP 3,0 por sí solo NO garantiza FSB ≥ 1,50 (ver hoja «Chequeo H.2.4-1»).</t>
  </si>
  <si>
    <t xml:space="preserve">Columnas AA y AB: admisibles por falla para CM+CV máxima (2,5 y 1,25) y con sismo seudoestático (1,5 y 1,10). El sismo entra solo por los FS: no se reduce qult por fuerzas inerciales ni se evalúa licuación o pérdida de resistencia (H.4.2.1 e). El asentamiento se compara solo con CM+CV normal.</t>
  </si>
  <si>
    <t xml:space="preserve">Fuente: EM 1110-1-1905 (tablas 4-3 y 4-4), FHWA NHI-06-089 (ec. 8-19, tabla 8-13), FHWA NHI-06-088 (tabla 5-16), NSR-10 Título H. Parámetros de la Act 3.</t>
  </si>
  <si>
    <t xml:space="preserve">Tabla 6. Factor de seguridad básico directo equivalente (FSB) frente a la tabla H.2.4-1 de la NSR-10 — zapata de B = 2,0 m</t>
  </si>
  <si>
    <t xml:space="preserve">H.4.7.1 exige demostrar que los FS indirectos implican FSB directos ≥ tabla H.2.4-1. FSB = F tal que qult(c/F, arctan(tanφ/F)) = qult/FSICP. F lo calcula el script por bisección [CP]; las columnas I a O lo comprueban con fórmulas: la razón de la columna O debe ser igual a FSICP.</t>
  </si>
  <si>
    <t xml:space="preserve">FSICP</t>
  </si>
  <si>
    <t xml:space="preserve">F = FSB equivalente [CP]</t>
  </si>
  <si>
    <t xml:space="preserve">FSBM mín. (H.2.4-1)</t>
  </si>
  <si>
    <t xml:space="preserve">c/F (kPa)</t>
  </si>
  <si>
    <t xml:space="preserve">φ reducido (°)</t>
  </si>
  <si>
    <t xml:space="preserve">Nφ</t>
  </si>
  <si>
    <t xml:space="preserve">qult/qult reducido</t>
  </si>
  <si>
    <t xml:space="preserve">¿El FSICP solo cumple H.2.4-1?</t>
  </si>
  <si>
    <t xml:space="preserve">Lectura: «NO» significa que aplicar solo el FSICP a qult deja un FSB directo menor que el mínimo de la tabla H.2.4-1. Por eso la hoja «Cálculo» toma como admisible por falla el menor de los dos criterios (columna V y columnas AA-AB); con esa regla el FSB directo es ≥ FSBM en todos los casos.</t>
  </si>
  <si>
    <t xml:space="preserve">Tabla 7. Control de las fórmulas de Nq, Nc y Nγ (Meyerhof) contra la tabla 4-4 de EM 1110-1-1905</t>
  </si>
  <si>
    <t xml:space="preserve">Valores de la tabla 4-4 leídos sobre la imagen renderizada de la p. 4-6 (PDF p. 45). Tolerancia: redondeo a 2 decimales de la tabla.</t>
  </si>
  <si>
    <t xml:space="preserve">Nq tabla</t>
  </si>
  <si>
    <t xml:space="preserve">Nq fórmula</t>
  </si>
  <si>
    <t xml:space="preserve">Nc tabla</t>
  </si>
  <si>
    <t xml:space="preserve">Nc fórmula</t>
  </si>
  <si>
    <t xml:space="preserve">Nγ tabla</t>
  </si>
  <si>
    <t xml:space="preserve">Nγ fórmula</t>
  </si>
  <si>
    <t xml:space="preserve">Máx. diferencia</t>
  </si>
  <si>
    <t xml:space="preserve">¿Coincide?</t>
  </si>
  <si>
    <t xml:space="preserve">Cubre φ de 22° a 34°, el intervalo de los parámetros S1 (27-32°) y S2 (23-33°) y de los φ reducidos del chequeo H.2.4-1.</t>
  </si>
  <si>
    <t xml:space="preserve">Tabla 8. Qué no afirma esta memoria y sus limitaciones</t>
  </si>
  <si>
    <t xml:space="preserve">Limitación</t>
  </si>
  <si>
    <t xml:space="preserve">Consecuencia</t>
  </si>
  <si>
    <t xml:space="preserve">Referencia</t>
  </si>
  <si>
    <t xml:space="preserve">Los parámetros c, φ y γ son análogos publicados (Batolito Antioqueño; cenizas de Pereira), no del sitio.</t>
  </si>
  <si>
    <t xml:space="preserve">El rango puede no contener el valor real del portal.</t>
  </si>
  <si>
    <t xml:space="preserve">Act 3; NSR-10 H.3</t>
  </si>
  <si>
    <t xml:space="preserve">S2 usa c y φ de ensayos UU (no drenados, esfuerzos totales) en ceniza no saturada, combinados con peso sumergido cuando el NF está en la base.</t>
  </si>
  <si>
    <t xml:space="preserve">Mezcla de enfoques en esfuerzos totales y efectivos: se acepta solo como sensibilidad.</t>
  </si>
  <si>
    <t xml:space="preserve">NSR-10 H.2.4.2; BBM13</t>
  </si>
  <si>
    <t xml:space="preserve">No se cuantifica la falla por corte local ni por punzonamiento (suelos sueltos o sensibles, como la ceniza alofánica al saturarse).</t>
  </si>
  <si>
    <t xml:space="preserve">En S2 y en S1 con cohesión nula, qult real puede ser menor que la de corte general.</t>
  </si>
  <si>
    <t xml:space="preserve">NSR-10 H.4.2.1; EM 1110-1-1905 §1-2</t>
  </si>
  <si>
    <t xml:space="preserve">No se considera la influencia de taludes próximos. El portal oriental tiene pendiente media de 16,7° y p90 de 31,1° en 250 m (Act 2).</t>
  </si>
  <si>
    <t xml:space="preserve">Una zapata cerca de la ladera tiene menor capacidad; exige análisis de estabilidad global.</t>
  </si>
  <si>
    <t xml:space="preserve">NSR-10 H.4.2.1 d; Act 2 OE 3</t>
  </si>
  <si>
    <t xml:space="preserve">Carga vertical centrada: sin excentricidad, sin inclinación, zapata cuadrada.</t>
  </si>
  <si>
    <t xml:space="preserve">Las fuerzas de frenado y sismo de una terminal reducen la capacidad.</t>
  </si>
  <si>
    <t xml:space="preserve">NSR-10 H.4.2.1 b; H.4.10</t>
  </si>
  <si>
    <t xml:space="preserve">El sismo entra solo por el FS 1,5; no se evalúan licuación, densificación ni pérdida de resistencia.</t>
  </si>
  <si>
    <t xml:space="preserve">La combinación sísmica queda sin verificar en rigor.</t>
  </si>
  <si>
    <t xml:space="preserve">NSR-10 H.4.2.1 e; capítulo H.7</t>
  </si>
  <si>
    <t xml:space="preserve">Asentamiento elástico con E de tabla genérica y medio homogéneo; no se calcula consolidación ni asentamiento secundario ni colapso por saturación de la ceniza.</t>
  </si>
  <si>
    <t xml:space="preserve">El criterio de servicio es indicativo; el límite de 25 mm es una hipótesis.</t>
  </si>
  <si>
    <t xml:space="preserve">NSR-10 H.4.2.2, H.4.8, H.4.9</t>
  </si>
  <si>
    <t xml:space="preserve">Un solo método (Meyerhof). EM 1110-1-1905 recomienda contrastar con dos o más modelos.</t>
  </si>
  <si>
    <t xml:space="preserve">Sin contraste Hansen / Vesic.</t>
  </si>
  <si>
    <t xml:space="preserve">EM 1110-1-1905 §4-2</t>
  </si>
  <si>
    <t xml:space="preserve">La roca (R1-R4) no entra: está bajo la cobertura y Meyerhof es un método para suelo.</t>
  </si>
  <si>
    <t xml:space="preserve">Si la exploración encuentra roca a poca profundidad, cambia el método y el orden de magnitud.</t>
  </si>
  <si>
    <t xml:space="preserve">Act 3, hoja Roca</t>
  </si>
  <si>
    <t xml:space="preserve">Tabla 9. Exploración mínima para convertir el rango en un valor de diseño</t>
  </si>
  <si>
    <t xml:space="preserve">Ensayo o actividad</t>
  </si>
  <si>
    <t xml:space="preserve">Qué resuelve</t>
  </si>
  <si>
    <t xml:space="preserve">Sondeos con SPT y recuperación de muestras en cada portal, hasta roca o hasta la profundidad que fije el capítulo H.3.</t>
  </si>
  <si>
    <t xml:space="preserve">Espesor de S1 / S2, estratigrafía, N para E y φ.</t>
  </si>
  <si>
    <t xml:space="preserve">NSR-10 H.3</t>
  </si>
  <si>
    <t xml:space="preserve">Piezómetros o registro del nivel freático en los sondeos.</t>
  </si>
  <si>
    <t xml:space="preserve">Elimina la bifurcación «NF en la base / NF profundo».</t>
  </si>
  <si>
    <t xml:space="preserve">NSR-10 H.4.2.1 a</t>
  </si>
  <si>
    <t xml:space="preserve">Triaxiales CU con medición de presión de poros (o CD) sobre muestras inalteradas.</t>
  </si>
  <si>
    <t xml:space="preserve">c′ y φ′ efectivos del sitio.</t>
  </si>
  <si>
    <t xml:space="preserve">NSR-10 H.2.4</t>
  </si>
  <si>
    <t xml:space="preserve">Consolidación unidimensional y ensayo de colapso por inundación en la ceniza.</t>
  </si>
  <si>
    <t xml:space="preserve">Asentamientos por consolidación y colapso.</t>
  </si>
  <si>
    <t xml:space="preserve">NSR-10 H.4.8</t>
  </si>
  <si>
    <t xml:space="preserve">Sísmica de refracción o MASW.</t>
  </si>
  <si>
    <t xml:space="preserve">Profundidad de roca y Vs para el perfil sísmico.</t>
  </si>
  <si>
    <t xml:space="preserve">NSR-10 A.2.4</t>
  </si>
  <si>
    <t xml:space="preserve">Clasificación, límites de Atterberg, humedad natural y peso unitario.</t>
  </si>
  <si>
    <t xml:space="preserve">γ del sitio y clasificación SCUS (H.2.5).</t>
  </si>
  <si>
    <t xml:space="preserve">NSR-10 H.2.5</t>
  </si>
  <si>
    <t xml:space="preserve">Tabla 10. Marcas de origen</t>
  </si>
  <si>
    <t xml:space="preserve">Significado</t>
  </si>
  <si>
    <t xml:space="preserve">Dato de fuente publicada, leído en el documento original descargado</t>
  </si>
  <si>
    <t xml:space="preserve">CP</t>
  </si>
  <si>
    <t xml:space="preserve">Cálculo propio, reproducible con las fórmulas de este libro y el script citado</t>
  </si>
  <si>
    <t xml:space="preserve">Hipótesis o supuesto del semillero, declarado; fondo amarillo en las celdas</t>
  </si>
  <si>
    <t xml:space="preserve">Tabla 11. Fuentes citadas</t>
  </si>
  <si>
    <t xml:space="preserve">Clave</t>
  </si>
  <si>
    <t xml:space="preserve">Enlace / ruta</t>
  </si>
  <si>
    <t xml:space="preserve">ACT3</t>
  </si>
  <si>
    <t xml:space="preserve">Semillero GEOPAV (2026). Cuadro de parámetros geotécnicos adoptados y su rango de sensibilidad. OE 3, Act 3 (suelos S1 y S2).</t>
  </si>
  <si>
    <t xml:space="preserve">OE3_Geotecnia/Act3_Parametros/Cuadro_parametros_adoptados_OE3.xlsx</t>
  </si>
  <si>
    <t xml:space="preserve">EM1905</t>
  </si>
  <si>
    <t xml:space="preserve">U.S. Army Corps of Engineers (1992). EM 1110-1-1905 Bearing Capacity of Soils. Ec. 4-1, tabla 4-3 (Meyerhof 1953, 1963) p. 4-5, tabla 4-4 p. 4-6, §1-2 d (nivel freático), §4-2.</t>
  </si>
  <si>
    <t xml:space="preserve">https://pdhlibrary.com/sites/default/files/EM%201110-1-1905%20-%20Bearing%20Capacity%20of%20Soils%20.pdf (md5 f41333aa…)</t>
  </si>
  <si>
    <t xml:space="preserve">FHWA088</t>
  </si>
  <si>
    <t xml:space="preserve">FHWA (2006). Soils and Foundations Reference Manual, Vol. I, FHWA NHI-06-088. Tabla 5-16 «Elastic constants of various soils», p. 5-85.</t>
  </si>
  <si>
    <t xml:space="preserve">https://www.fhwa.dot.gov/engineering/geotech/pubs/nhi06088.pdf (md5 520fb556…)</t>
  </si>
  <si>
    <t xml:space="preserve">FHWA089</t>
  </si>
  <si>
    <t xml:space="preserve">FHWA (2006). Soils and Foundations Reference Manual, Vol. II, FHWA NHI-06-089. Ec. 8-19 y tabla 8-13 (Cd), p. 8-58 y 8-59.</t>
  </si>
  <si>
    <t xml:space="preserve">https://www.fhwa.dot.gov/engineering/geotech/pubs/nhi06089.pdf (md5 9795a31e…)</t>
  </si>
  <si>
    <t xml:space="preserve">NSR10</t>
  </si>
  <si>
    <t xml:space="preserve">NSR-10, Título H: H.2.4 (tabla H.2.4-1), H.4.2.1-H.4.2.3, H.4.7.1 (tabla H.4.7-1), H.4.8, H.4.9 (tabla H.4.9-1). Verificado en el texto de la norma.</t>
  </si>
  <si>
    <t xml:space="preserve">https://www.scg.org.co/Titulo-H-NSR-10-Decreto%20Final-2010-01-14.pdf</t>
  </si>
  <si>
    <t xml:space="preserve">ACT2</t>
  </si>
  <si>
    <t xml:space="preserve">Semillero GEOPAV (2026). Mapa base de susceptibilidad y pendientes locales de los portales. OE 3, Act 2.</t>
  </si>
  <si>
    <t xml:space="preserve">OE3_Geotecnia/Act2_Amenaza/pendiente_portales_OE3.json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</si>
</sst>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0.00"/>
    <numFmt numFmtId="168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Arial"/>
      <family val="0"/>
      <charset val="1"/>
    </font>
    <font>
      <sz val="12"/>
      <color rgb="FF193F7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2"/>
      <color rgb="FF193F77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3"/>
      <color rgb="FF193F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A3412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E8F3EA"/>
        <bgColor rgb="FFFFF7D6"/>
      </patternFill>
    </fill>
    <fill>
      <patternFill patternType="solid">
        <fgColor rgb="FFFFF7D6"/>
        <bgColor rgb="FFE8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8F3EA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178E2C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5524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G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60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30" hidden="false" customHeight="true" outlineLevel="0" collapsed="false">
      <c r="B18" s="3" t="s">
        <v>16</v>
      </c>
      <c r="C18" s="4" t="s">
        <v>17</v>
      </c>
      <c r="D18" s="4"/>
      <c r="E18" s="4"/>
      <c r="F18" s="4"/>
      <c r="G18" s="4"/>
    </row>
    <row r="19" customFormat="false" ht="60" hidden="false" customHeight="true" outlineLevel="0" collapsed="false">
      <c r="B19" s="3" t="s">
        <v>18</v>
      </c>
      <c r="C19" s="5" t="s">
        <v>19</v>
      </c>
      <c r="D19" s="5"/>
      <c r="E19" s="5"/>
      <c r="F19" s="5"/>
      <c r="G19" s="5"/>
    </row>
    <row r="21" customFormat="false" ht="15" hidden="false" customHeight="false" outlineLevel="0" collapsed="false">
      <c r="B21" s="6" t="s">
        <v>20</v>
      </c>
    </row>
    <row r="22" customFormat="false" ht="15" hidden="false" customHeight="false" outlineLevel="0" collapsed="false">
      <c r="B22" s="7" t="s">
        <v>21</v>
      </c>
      <c r="C22" s="8" t="s">
        <v>22</v>
      </c>
      <c r="D22" s="8"/>
      <c r="E22" s="8"/>
      <c r="F22" s="8"/>
      <c r="G22" s="8"/>
    </row>
    <row r="23" customFormat="false" ht="15" hidden="false" customHeight="false" outlineLevel="0" collapsed="false">
      <c r="B23" s="7" t="s">
        <v>23</v>
      </c>
      <c r="C23" s="8" t="s">
        <v>24</v>
      </c>
      <c r="D23" s="8"/>
      <c r="E23" s="8"/>
      <c r="F23" s="8"/>
      <c r="G23" s="8"/>
    </row>
    <row r="24" customFormat="false" ht="15" hidden="false" customHeight="false" outlineLevel="0" collapsed="false">
      <c r="B24" s="7" t="s">
        <v>25</v>
      </c>
      <c r="C24" s="8" t="s">
        <v>26</v>
      </c>
      <c r="D24" s="8"/>
      <c r="E24" s="8"/>
      <c r="F24" s="8"/>
      <c r="G24" s="8"/>
    </row>
    <row r="25" customFormat="false" ht="15" hidden="false" customHeight="false" outlineLevel="0" collapsed="false">
      <c r="B25" s="7" t="s">
        <v>27</v>
      </c>
      <c r="C25" s="8" t="s">
        <v>28</v>
      </c>
      <c r="D25" s="8"/>
      <c r="E25" s="8"/>
      <c r="F25" s="8"/>
      <c r="G25" s="8"/>
    </row>
    <row r="26" customFormat="false" ht="15" hidden="false" customHeight="false" outlineLevel="0" collapsed="false">
      <c r="B26" s="7" t="s">
        <v>29</v>
      </c>
      <c r="C26" s="8" t="s">
        <v>30</v>
      </c>
      <c r="D26" s="8"/>
      <c r="E26" s="8"/>
      <c r="F26" s="8"/>
      <c r="G26" s="8"/>
    </row>
    <row r="27" customFormat="false" ht="15" hidden="false" customHeight="false" outlineLevel="0" collapsed="false">
      <c r="B27" s="7" t="s">
        <v>31</v>
      </c>
      <c r="C27" s="8" t="s">
        <v>32</v>
      </c>
      <c r="D27" s="8"/>
      <c r="E27" s="8"/>
      <c r="F27" s="8"/>
      <c r="G27" s="8"/>
    </row>
    <row r="28" customFormat="false" ht="15" hidden="false" customHeight="false" outlineLevel="0" collapsed="false">
      <c r="B28" s="7" t="s">
        <v>33</v>
      </c>
      <c r="C28" s="8" t="s">
        <v>34</v>
      </c>
      <c r="D28" s="8"/>
      <c r="E28" s="8"/>
      <c r="F28" s="8"/>
      <c r="G28" s="8"/>
    </row>
    <row r="30" customFormat="false" ht="15" hidden="false" customHeight="true" outlineLevel="0" collapsed="false">
      <c r="B30" s="9" t="s">
        <v>35</v>
      </c>
      <c r="C30" s="9"/>
      <c r="D30" s="9"/>
      <c r="E30" s="9"/>
      <c r="F30" s="9"/>
      <c r="G30" s="9"/>
    </row>
    <row r="31" customFormat="false" ht="15" hidden="false" customHeight="false" outlineLevel="0" collapsed="false"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B33" s="9"/>
      <c r="C33" s="9"/>
      <c r="D33" s="9"/>
      <c r="E33" s="9"/>
      <c r="F33" s="9"/>
      <c r="G33" s="9"/>
    </row>
  </sheetData>
  <mergeCells count="17"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C26:G26"/>
    <mergeCell ref="C27:G27"/>
    <mergeCell ref="C28:G28"/>
    <mergeCell ref="B30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0" t="s">
        <v>36</v>
      </c>
    </row>
    <row r="2" customFormat="false" ht="15" hidden="false" customHeight="false" outlineLevel="0" collapsed="false">
      <c r="A2" s="11" t="s">
        <v>37</v>
      </c>
    </row>
    <row r="4" customFormat="false" ht="43.5" hidden="false" customHeight="true" outlineLevel="0" collapsed="false">
      <c r="A4" s="12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</row>
    <row r="5" customFormat="false" ht="30" hidden="false" customHeight="true" outlineLevel="0" collapsed="false">
      <c r="A5" s="13" t="s">
        <v>47</v>
      </c>
      <c r="B5" s="14" t="s">
        <v>48</v>
      </c>
      <c r="C5" s="15" t="n">
        <v>1.5</v>
      </c>
      <c r="D5" s="16" t="n">
        <f aca="false">Cálculo!Y5</f>
        <v>60.1827227498869</v>
      </c>
      <c r="E5" s="17" t="n">
        <f aca="false">Cálculo!Y11</f>
        <v>224.504975124378</v>
      </c>
      <c r="F5" s="17" t="n">
        <f aca="false">Cálculo!Y12</f>
        <v>224.504975124378</v>
      </c>
      <c r="G5" s="16" t="n">
        <f aca="false">Cálculo!Y18</f>
        <v>388.827227498869</v>
      </c>
      <c r="H5" s="18" t="str">
        <f aca="false">Cálculo!Z12</f>
        <v>Asentamiento</v>
      </c>
      <c r="I5" s="19" t="n">
        <f aca="false">Cálculo!S12</f>
        <v>1994.25779403079</v>
      </c>
    </row>
    <row r="6" customFormat="false" ht="30" hidden="false" customHeight="true" outlineLevel="0" collapsed="false">
      <c r="A6" s="13" t="s">
        <v>47</v>
      </c>
      <c r="B6" s="14" t="s">
        <v>48</v>
      </c>
      <c r="C6" s="15" t="n">
        <v>2</v>
      </c>
      <c r="D6" s="16" t="n">
        <f aca="false">Cálculo!Y7</f>
        <v>51.1370420624152</v>
      </c>
      <c r="E6" s="17" t="n">
        <f aca="false">Cálculo!Y13</f>
        <v>174.753731343284</v>
      </c>
      <c r="F6" s="17" t="n">
        <f aca="false">Cálculo!Y14</f>
        <v>174.753731343284</v>
      </c>
      <c r="G6" s="16" t="n">
        <f aca="false">Cálculo!Y20</f>
        <v>298.370420624152</v>
      </c>
      <c r="H6" s="18" t="str">
        <f aca="false">Cálculo!Z14</f>
        <v>Asentamiento</v>
      </c>
      <c r="I6" s="19" t="n">
        <f aca="false">Cálculo!S14</f>
        <v>1991.76602594073</v>
      </c>
    </row>
    <row r="7" customFormat="false" ht="30" hidden="false" customHeight="true" outlineLevel="0" collapsed="false">
      <c r="A7" s="13" t="s">
        <v>47</v>
      </c>
      <c r="B7" s="14" t="s">
        <v>48</v>
      </c>
      <c r="C7" s="15" t="n">
        <v>3</v>
      </c>
      <c r="D7" s="16" t="n">
        <f aca="false">Cálculo!Y9</f>
        <v>42.0913613749435</v>
      </c>
      <c r="E7" s="17" t="n">
        <f aca="false">Cálculo!Y15</f>
        <v>125.002487562189</v>
      </c>
      <c r="F7" s="17" t="n">
        <f aca="false">Cálculo!Y16</f>
        <v>125.002487562189</v>
      </c>
      <c r="G7" s="16" t="n">
        <f aca="false">Cálculo!Y22</f>
        <v>207.913613749435</v>
      </c>
      <c r="H7" s="18" t="str">
        <f aca="false">Cálculo!Z16</f>
        <v>Asentamiento</v>
      </c>
      <c r="I7" s="19" t="n">
        <f aca="false">Cálculo!S16</f>
        <v>2075.84018338694</v>
      </c>
    </row>
    <row r="8" customFormat="false" ht="30" hidden="false" customHeight="true" outlineLevel="0" collapsed="false">
      <c r="A8" s="13" t="s">
        <v>49</v>
      </c>
      <c r="B8" s="14" t="s">
        <v>50</v>
      </c>
      <c r="C8" s="15" t="n">
        <v>1.5</v>
      </c>
      <c r="D8" s="16" t="n">
        <f aca="false">Cálculo!Y23</f>
        <v>68.3867151135176</v>
      </c>
      <c r="E8" s="17" t="n">
        <f aca="false">Cálculo!Y29</f>
        <v>197.128502897312</v>
      </c>
      <c r="F8" s="17" t="n">
        <f aca="false">Cálculo!Y30</f>
        <v>197.128502897312</v>
      </c>
      <c r="G8" s="16" t="n">
        <f aca="false">Cálculo!Y36</f>
        <v>326.620290681106</v>
      </c>
      <c r="H8" s="18" t="str">
        <f aca="false">Cálculo!Z30</f>
        <v>Asentamiento</v>
      </c>
      <c r="I8" s="19" t="n">
        <f aca="false">Cálculo!S30</f>
        <v>1948.84799974673</v>
      </c>
    </row>
    <row r="9" customFormat="false" ht="30" hidden="false" customHeight="true" outlineLevel="0" collapsed="false">
      <c r="A9" s="13" t="s">
        <v>49</v>
      </c>
      <c r="B9" s="14" t="s">
        <v>50</v>
      </c>
      <c r="C9" s="15" t="n">
        <v>2</v>
      </c>
      <c r="D9" s="16" t="n">
        <f aca="false">Cálculo!Y25</f>
        <v>55.7525363351382</v>
      </c>
      <c r="E9" s="17" t="n">
        <f aca="false">Cálculo!Y31</f>
        <v>152.908877172984</v>
      </c>
      <c r="F9" s="17" t="n">
        <f aca="false">Cálculo!Y32</f>
        <v>152.908877172984</v>
      </c>
      <c r="G9" s="16" t="n">
        <f aca="false">Cálculo!Y38</f>
        <v>250.815218010829</v>
      </c>
      <c r="H9" s="18" t="str">
        <f aca="false">Cálculo!Z32</f>
        <v>Asentamiento</v>
      </c>
      <c r="I9" s="19" t="n">
        <f aca="false">Cálculo!S32</f>
        <v>1897.81930347825</v>
      </c>
    </row>
    <row r="10" customFormat="false" ht="30" hidden="false" customHeight="true" outlineLevel="0" collapsed="false">
      <c r="A10" s="13" t="s">
        <v>49</v>
      </c>
      <c r="B10" s="14" t="s">
        <v>50</v>
      </c>
      <c r="C10" s="15" t="n">
        <v>3</v>
      </c>
      <c r="D10" s="16" t="n">
        <f aca="false">Cálculo!Y27</f>
        <v>43.1183575567588</v>
      </c>
      <c r="E10" s="17" t="n">
        <f aca="false">Cálculo!Y33</f>
        <v>108.689251448656</v>
      </c>
      <c r="F10" s="17" t="n">
        <f aca="false">Cálculo!Y34</f>
        <v>108.689251448656</v>
      </c>
      <c r="G10" s="16" t="n">
        <f aca="false">Cálculo!Y40</f>
        <v>175.010145340553</v>
      </c>
      <c r="H10" s="18" t="str">
        <f aca="false">Cálculo!Z34</f>
        <v>Asentamiento</v>
      </c>
      <c r="I10" s="19" t="n">
        <f aca="false">Cálculo!S34</f>
        <v>1895.0159943122</v>
      </c>
    </row>
    <row r="12" customFormat="false" ht="15" hidden="false" customHeight="false" outlineLevel="0" collapsed="false">
      <c r="A12" s="20" t="s">
        <v>51</v>
      </c>
    </row>
    <row r="13" customFormat="false" ht="15" hidden="false" customHeight="false" outlineLevel="0" collapsed="false">
      <c r="A13" s="11" t="s">
        <v>52</v>
      </c>
    </row>
    <row r="14" customFormat="false" ht="15" hidden="false" customHeight="false" outlineLevel="0" collapsed="false">
      <c r="A14" s="1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7" min="5" style="0" width="11"/>
    <col collapsed="false" customWidth="true" hidden="false" outlineLevel="0" max="8" min="8" style="0" width="8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0" t="s">
        <v>54</v>
      </c>
    </row>
    <row r="2" customFormat="false" ht="15" hidden="false" customHeight="false" outlineLevel="0" collapsed="false">
      <c r="A2" s="11" t="s">
        <v>55</v>
      </c>
    </row>
    <row r="4" customFormat="false" ht="15" hidden="false" customHeight="false" outlineLevel="0" collapsed="false">
      <c r="A4" s="12" t="s">
        <v>56</v>
      </c>
      <c r="B4" s="12" t="s">
        <v>38</v>
      </c>
      <c r="C4" s="12" t="s">
        <v>57</v>
      </c>
      <c r="D4" s="12" t="s">
        <v>58</v>
      </c>
      <c r="E4" s="12" t="s">
        <v>41</v>
      </c>
      <c r="F4" s="12" t="s">
        <v>59</v>
      </c>
      <c r="G4" s="12" t="s">
        <v>44</v>
      </c>
      <c r="H4" s="12" t="s">
        <v>60</v>
      </c>
      <c r="I4" s="12" t="s">
        <v>61</v>
      </c>
    </row>
    <row r="5" customFormat="false" ht="15" hidden="false" customHeight="false" outlineLevel="0" collapsed="false">
      <c r="A5" s="13" t="s">
        <v>62</v>
      </c>
      <c r="B5" s="18" t="s">
        <v>47</v>
      </c>
      <c r="C5" s="14" t="s">
        <v>63</v>
      </c>
      <c r="D5" s="18" t="s">
        <v>64</v>
      </c>
      <c r="E5" s="21" t="n">
        <v>0</v>
      </c>
      <c r="F5" s="21" t="n">
        <v>15</v>
      </c>
      <c r="G5" s="21" t="n">
        <v>29</v>
      </c>
      <c r="H5" s="13" t="s">
        <v>65</v>
      </c>
      <c r="I5" s="14" t="s">
        <v>66</v>
      </c>
    </row>
    <row r="6" customFormat="false" ht="15" hidden="false" customHeight="false" outlineLevel="0" collapsed="false">
      <c r="A6" s="13" t="s">
        <v>62</v>
      </c>
      <c r="B6" s="18" t="s">
        <v>47</v>
      </c>
      <c r="C6" s="14" t="s">
        <v>67</v>
      </c>
      <c r="D6" s="18" t="s">
        <v>68</v>
      </c>
      <c r="E6" s="21" t="n">
        <v>27</v>
      </c>
      <c r="F6" s="21" t="n">
        <v>30</v>
      </c>
      <c r="G6" s="21" t="n">
        <v>32</v>
      </c>
      <c r="H6" s="13" t="s">
        <v>65</v>
      </c>
      <c r="I6" s="14" t="s">
        <v>69</v>
      </c>
    </row>
    <row r="7" customFormat="false" ht="15" hidden="false" customHeight="false" outlineLevel="0" collapsed="false">
      <c r="A7" s="13" t="s">
        <v>62</v>
      </c>
      <c r="B7" s="18" t="s">
        <v>47</v>
      </c>
      <c r="C7" s="14" t="s">
        <v>70</v>
      </c>
      <c r="D7" s="18" t="s">
        <v>71</v>
      </c>
      <c r="E7" s="22" t="n">
        <v>16</v>
      </c>
      <c r="F7" s="22" t="n">
        <v>17</v>
      </c>
      <c r="G7" s="22" t="n">
        <v>18</v>
      </c>
      <c r="H7" s="13" t="s">
        <v>72</v>
      </c>
      <c r="I7" s="14" t="s">
        <v>73</v>
      </c>
    </row>
    <row r="8" customFormat="false" ht="42" hidden="false" customHeight="true" outlineLevel="0" collapsed="false">
      <c r="A8" s="13" t="s">
        <v>62</v>
      </c>
      <c r="B8" s="18" t="s">
        <v>47</v>
      </c>
      <c r="C8" s="18" t="s">
        <v>74</v>
      </c>
      <c r="D8" s="18" t="s">
        <v>64</v>
      </c>
      <c r="E8" s="23" t="n">
        <f aca="false">20*$C$23</f>
        <v>1915.2</v>
      </c>
      <c r="F8" s="23" t="n">
        <f aca="false">110*$C$23</f>
        <v>10533.6</v>
      </c>
      <c r="G8" s="23" t="n">
        <f aca="false">200*$C$23</f>
        <v>19152</v>
      </c>
      <c r="H8" s="13" t="s">
        <v>75</v>
      </c>
      <c r="I8" s="14" t="s">
        <v>76</v>
      </c>
    </row>
    <row r="9" customFormat="false" ht="15" hidden="false" customHeight="false" outlineLevel="0" collapsed="false">
      <c r="A9" s="13" t="s">
        <v>62</v>
      </c>
      <c r="B9" s="18" t="s">
        <v>47</v>
      </c>
      <c r="C9" s="18" t="s">
        <v>77</v>
      </c>
      <c r="D9" s="18" t="s">
        <v>78</v>
      </c>
      <c r="E9" s="24" t="n">
        <v>0.33</v>
      </c>
      <c r="F9" s="24" t="n">
        <v>0.33</v>
      </c>
      <c r="G9" s="24" t="n">
        <v>0.33</v>
      </c>
      <c r="H9" s="13" t="s">
        <v>75</v>
      </c>
      <c r="I9" s="14" t="s">
        <v>79</v>
      </c>
    </row>
    <row r="10" customFormat="false" ht="15" hidden="false" customHeight="false" outlineLevel="0" collapsed="false">
      <c r="A10" s="13" t="s">
        <v>80</v>
      </c>
      <c r="B10" s="18" t="s">
        <v>49</v>
      </c>
      <c r="C10" s="14" t="s">
        <v>81</v>
      </c>
      <c r="D10" s="18" t="s">
        <v>64</v>
      </c>
      <c r="E10" s="21" t="n">
        <v>15</v>
      </c>
      <c r="F10" s="21" t="n">
        <v>25</v>
      </c>
      <c r="G10" s="21" t="n">
        <v>35</v>
      </c>
      <c r="H10" s="13" t="s">
        <v>65</v>
      </c>
      <c r="I10" s="14" t="s">
        <v>82</v>
      </c>
    </row>
    <row r="11" customFormat="false" ht="15" hidden="false" customHeight="false" outlineLevel="0" collapsed="false">
      <c r="A11" s="13" t="s">
        <v>80</v>
      </c>
      <c r="B11" s="18" t="s">
        <v>49</v>
      </c>
      <c r="C11" s="14" t="s">
        <v>83</v>
      </c>
      <c r="D11" s="18" t="s">
        <v>68</v>
      </c>
      <c r="E11" s="21" t="n">
        <v>23</v>
      </c>
      <c r="F11" s="21" t="n">
        <v>28</v>
      </c>
      <c r="G11" s="21" t="n">
        <v>33</v>
      </c>
      <c r="H11" s="13" t="s">
        <v>65</v>
      </c>
      <c r="I11" s="14" t="s">
        <v>84</v>
      </c>
    </row>
    <row r="12" customFormat="false" ht="15" hidden="false" customHeight="false" outlineLevel="0" collapsed="false">
      <c r="A12" s="13" t="s">
        <v>80</v>
      </c>
      <c r="B12" s="18" t="s">
        <v>49</v>
      </c>
      <c r="C12" s="14" t="s">
        <v>85</v>
      </c>
      <c r="D12" s="18" t="s">
        <v>71</v>
      </c>
      <c r="E12" s="21" t="n">
        <v>11.9</v>
      </c>
      <c r="F12" s="21" t="n">
        <v>13.5</v>
      </c>
      <c r="G12" s="21" t="n">
        <v>15.6</v>
      </c>
      <c r="H12" s="13" t="s">
        <v>65</v>
      </c>
      <c r="I12" s="14" t="s">
        <v>86</v>
      </c>
    </row>
    <row r="13" customFormat="false" ht="42" hidden="false" customHeight="true" outlineLevel="0" collapsed="false">
      <c r="A13" s="13" t="s">
        <v>80</v>
      </c>
      <c r="B13" s="18" t="s">
        <v>49</v>
      </c>
      <c r="C13" s="18" t="s">
        <v>74</v>
      </c>
      <c r="D13" s="18" t="s">
        <v>64</v>
      </c>
      <c r="E13" s="23" t="n">
        <f aca="false">25*$C$23</f>
        <v>2394</v>
      </c>
      <c r="F13" s="23" t="n">
        <f aca="false">87.5*$C$23</f>
        <v>8379</v>
      </c>
      <c r="G13" s="23" t="n">
        <f aca="false">150*$C$23</f>
        <v>14364</v>
      </c>
      <c r="H13" s="13" t="s">
        <v>75</v>
      </c>
      <c r="I13" s="14" t="s">
        <v>87</v>
      </c>
    </row>
    <row r="14" customFormat="false" ht="15" hidden="false" customHeight="false" outlineLevel="0" collapsed="false">
      <c r="A14" s="13" t="s">
        <v>80</v>
      </c>
      <c r="B14" s="18" t="s">
        <v>49</v>
      </c>
      <c r="C14" s="18" t="s">
        <v>77</v>
      </c>
      <c r="D14" s="18" t="s">
        <v>78</v>
      </c>
      <c r="E14" s="24" t="n">
        <v>0.45</v>
      </c>
      <c r="F14" s="24" t="n">
        <v>0.45</v>
      </c>
      <c r="G14" s="24" t="n">
        <v>0.45</v>
      </c>
      <c r="H14" s="13" t="s">
        <v>75</v>
      </c>
      <c r="I14" s="14" t="s">
        <v>88</v>
      </c>
    </row>
    <row r="16" customFormat="false" ht="16.15" hidden="false" customHeight="false" outlineLevel="0" collapsed="false">
      <c r="A16" s="10" t="s">
        <v>89</v>
      </c>
    </row>
    <row r="17" customFormat="false" ht="15" hidden="false" customHeight="true" outlineLevel="0" collapsed="false">
      <c r="A17" s="12" t="s">
        <v>90</v>
      </c>
      <c r="B17" s="12" t="s">
        <v>91</v>
      </c>
      <c r="C17" s="12" t="s">
        <v>92</v>
      </c>
      <c r="D17" s="12" t="s">
        <v>58</v>
      </c>
      <c r="E17" s="12" t="s">
        <v>60</v>
      </c>
      <c r="F17" s="12" t="s">
        <v>93</v>
      </c>
      <c r="G17" s="12"/>
      <c r="H17" s="12"/>
      <c r="I17" s="12"/>
    </row>
    <row r="18" customFormat="false" ht="43.5" hidden="false" customHeight="true" outlineLevel="0" collapsed="false">
      <c r="A18" s="13" t="n">
        <v>1</v>
      </c>
      <c r="B18" s="14" t="s">
        <v>94</v>
      </c>
      <c r="C18" s="24" t="n">
        <v>1.5</v>
      </c>
      <c r="D18" s="18" t="s">
        <v>95</v>
      </c>
      <c r="E18" s="13" t="s">
        <v>72</v>
      </c>
      <c r="F18" s="14" t="s">
        <v>96</v>
      </c>
      <c r="G18" s="14"/>
      <c r="H18" s="14"/>
      <c r="I18" s="14"/>
    </row>
    <row r="19" customFormat="false" ht="21.75" hidden="false" customHeight="true" outlineLevel="0" collapsed="false">
      <c r="A19" s="13" t="n">
        <v>2</v>
      </c>
      <c r="B19" s="14" t="s">
        <v>97</v>
      </c>
      <c r="C19" s="25" t="n">
        <v>9.81</v>
      </c>
      <c r="D19" s="18" t="s">
        <v>71</v>
      </c>
      <c r="E19" s="13" t="s">
        <v>65</v>
      </c>
      <c r="F19" s="14" t="s">
        <v>98</v>
      </c>
      <c r="G19" s="14"/>
      <c r="H19" s="14"/>
      <c r="I19" s="14"/>
    </row>
    <row r="20" customFormat="false" ht="43.5" hidden="false" customHeight="true" outlineLevel="0" collapsed="false">
      <c r="A20" s="13" t="n">
        <v>3</v>
      </c>
      <c r="B20" s="14" t="s">
        <v>99</v>
      </c>
      <c r="C20" s="26" t="n">
        <v>0.025</v>
      </c>
      <c r="D20" s="18" t="s">
        <v>95</v>
      </c>
      <c r="E20" s="13" t="s">
        <v>72</v>
      </c>
      <c r="F20" s="14" t="s">
        <v>100</v>
      </c>
      <c r="G20" s="14"/>
      <c r="H20" s="14"/>
      <c r="I20" s="14"/>
    </row>
    <row r="21" customFormat="false" ht="21.75" hidden="false" customHeight="true" outlineLevel="0" collapsed="false">
      <c r="A21" s="13" t="n">
        <v>4</v>
      </c>
      <c r="B21" s="14" t="s">
        <v>101</v>
      </c>
      <c r="C21" s="27" t="n">
        <v>0.99</v>
      </c>
      <c r="D21" s="18" t="s">
        <v>78</v>
      </c>
      <c r="E21" s="13" t="s">
        <v>65</v>
      </c>
      <c r="F21" s="14" t="s">
        <v>102</v>
      </c>
      <c r="G21" s="14"/>
      <c r="H21" s="14"/>
      <c r="I21" s="14"/>
    </row>
    <row r="22" customFormat="false" ht="21.75" hidden="false" customHeight="true" outlineLevel="0" collapsed="false">
      <c r="A22" s="13" t="n">
        <v>5</v>
      </c>
      <c r="B22" s="14" t="s">
        <v>103</v>
      </c>
      <c r="C22" s="24" t="n">
        <v>1</v>
      </c>
      <c r="D22" s="18" t="s">
        <v>78</v>
      </c>
      <c r="E22" s="13" t="s">
        <v>72</v>
      </c>
      <c r="F22" s="14" t="s">
        <v>104</v>
      </c>
      <c r="G22" s="14"/>
      <c r="H22" s="14"/>
      <c r="I22" s="14"/>
    </row>
    <row r="23" customFormat="false" ht="21.75" hidden="false" customHeight="true" outlineLevel="0" collapsed="false">
      <c r="A23" s="13" t="n">
        <v>6</v>
      </c>
      <c r="B23" s="14" t="s">
        <v>105</v>
      </c>
      <c r="C23" s="25" t="n">
        <v>95.76</v>
      </c>
      <c r="D23" s="18" t="s">
        <v>64</v>
      </c>
      <c r="E23" s="13" t="s">
        <v>65</v>
      </c>
      <c r="F23" s="14" t="s">
        <v>106</v>
      </c>
      <c r="G23" s="14"/>
      <c r="H23" s="14"/>
      <c r="I23" s="14"/>
    </row>
    <row r="25" customFormat="false" ht="16.15" hidden="false" customHeight="false" outlineLevel="0" collapsed="false">
      <c r="A25" s="10" t="s">
        <v>107</v>
      </c>
    </row>
    <row r="26" customFormat="false" ht="57.45" hidden="false" customHeight="false" outlineLevel="0" collapsed="false">
      <c r="A26" s="12" t="s">
        <v>90</v>
      </c>
      <c r="B26" s="12" t="s">
        <v>108</v>
      </c>
      <c r="C26" s="12" t="s">
        <v>109</v>
      </c>
      <c r="D26" s="12" t="s">
        <v>110</v>
      </c>
      <c r="E26" s="12" t="s">
        <v>60</v>
      </c>
    </row>
    <row r="27" customFormat="false" ht="15" hidden="false" customHeight="false" outlineLevel="0" collapsed="false">
      <c r="A27" s="13" t="n">
        <v>1</v>
      </c>
      <c r="B27" s="14" t="s">
        <v>111</v>
      </c>
      <c r="C27" s="28" t="n">
        <v>3</v>
      </c>
      <c r="D27" s="25" t="n">
        <v>1.5</v>
      </c>
      <c r="E27" s="13" t="s">
        <v>65</v>
      </c>
    </row>
    <row r="28" customFormat="false" ht="15" hidden="false" customHeight="false" outlineLevel="0" collapsed="false">
      <c r="A28" s="13" t="n">
        <v>2</v>
      </c>
      <c r="B28" s="14" t="s">
        <v>112</v>
      </c>
      <c r="C28" s="28" t="n">
        <v>2.5</v>
      </c>
      <c r="D28" s="25" t="n">
        <v>1.25</v>
      </c>
      <c r="E28" s="13" t="s">
        <v>65</v>
      </c>
    </row>
    <row r="29" customFormat="false" ht="23.85" hidden="false" customHeight="false" outlineLevel="0" collapsed="false">
      <c r="A29" s="13" t="n">
        <v>3</v>
      </c>
      <c r="B29" s="14" t="s">
        <v>113</v>
      </c>
      <c r="C29" s="28" t="n">
        <v>1.5</v>
      </c>
      <c r="D29" s="25" t="n">
        <v>1.1</v>
      </c>
      <c r="E29" s="13" t="s">
        <v>65</v>
      </c>
    </row>
    <row r="31" customFormat="false" ht="15" hidden="false" customHeight="false" outlineLevel="0" collapsed="false">
      <c r="A31" s="11" t="s">
        <v>114</v>
      </c>
    </row>
  </sheetData>
  <mergeCells count="7">
    <mergeCell ref="F17:I17"/>
    <mergeCell ref="F18:I18"/>
    <mergeCell ref="F19:I19"/>
    <mergeCell ref="F20:I20"/>
    <mergeCell ref="F21:I21"/>
    <mergeCell ref="F22:I22"/>
    <mergeCell ref="F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9" min="8" style="0" width="9"/>
    <col collapsed="false" customWidth="true" hidden="false" outlineLevel="0" max="11" min="10" style="0" width="10"/>
    <col collapsed="false" customWidth="true" hidden="false" outlineLevel="0" max="14" min="12" style="0" width="9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8"/>
    <col collapsed="false" customWidth="true" hidden="false" outlineLevel="0" max="20" min="19" style="0" width="11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6"/>
    <col collapsed="false" customWidth="true" hidden="false" outlineLevel="0" max="28" min="27" style="0" width="12"/>
    <col collapsed="false" customWidth="true" hidden="false" outlineLevel="0" max="47" min="30" style="0" width="10"/>
  </cols>
  <sheetData>
    <row r="1" customFormat="false" ht="16.15" hidden="false" customHeight="false" outlineLevel="0" collapsed="false">
      <c r="A1" s="10" t="s">
        <v>115</v>
      </c>
    </row>
    <row r="2" customFormat="false" ht="15" hidden="false" customHeight="false" outlineLevel="0" collapsed="false">
      <c r="A2" s="11" t="s">
        <v>116</v>
      </c>
    </row>
    <row r="3" customFormat="false" ht="15" hidden="false" customHeight="false" outlineLevel="0" collapsed="false">
      <c r="AD3" s="7" t="s">
        <v>117</v>
      </c>
    </row>
    <row r="4" customFormat="false" ht="57.75" hidden="false" customHeight="true" outlineLevel="0" collapsed="false">
      <c r="A4" s="12" t="s">
        <v>56</v>
      </c>
      <c r="B4" s="12" t="s">
        <v>38</v>
      </c>
      <c r="C4" s="12" t="s">
        <v>118</v>
      </c>
      <c r="D4" s="12" t="s">
        <v>40</v>
      </c>
      <c r="E4" s="12" t="s">
        <v>119</v>
      </c>
      <c r="F4" s="12" t="s">
        <v>120</v>
      </c>
      <c r="G4" s="12" t="s">
        <v>121</v>
      </c>
      <c r="H4" s="12" t="s">
        <v>122</v>
      </c>
      <c r="I4" s="12" t="s">
        <v>123</v>
      </c>
      <c r="J4" s="12" t="s">
        <v>124</v>
      </c>
      <c r="K4" s="12" t="s">
        <v>125</v>
      </c>
      <c r="L4" s="12" t="s">
        <v>126</v>
      </c>
      <c r="M4" s="12" t="s">
        <v>127</v>
      </c>
      <c r="N4" s="12" t="s">
        <v>128</v>
      </c>
      <c r="O4" s="12" t="s">
        <v>129</v>
      </c>
      <c r="P4" s="12" t="s">
        <v>130</v>
      </c>
      <c r="Q4" s="12" t="s">
        <v>131</v>
      </c>
      <c r="R4" s="12" t="s">
        <v>132</v>
      </c>
      <c r="S4" s="12" t="s">
        <v>133</v>
      </c>
      <c r="T4" s="12" t="s">
        <v>134</v>
      </c>
      <c r="U4" s="12" t="s">
        <v>135</v>
      </c>
      <c r="V4" s="12" t="s">
        <v>136</v>
      </c>
      <c r="W4" s="12" t="s">
        <v>137</v>
      </c>
      <c r="X4" s="12" t="s">
        <v>138</v>
      </c>
      <c r="Y4" s="12" t="s">
        <v>139</v>
      </c>
      <c r="Z4" s="12" t="s">
        <v>140</v>
      </c>
      <c r="AA4" s="12" t="s">
        <v>141</v>
      </c>
      <c r="AB4" s="12" t="s">
        <v>142</v>
      </c>
      <c r="AD4" s="12" t="s">
        <v>143</v>
      </c>
      <c r="AE4" s="12" t="s">
        <v>144</v>
      </c>
      <c r="AF4" s="12" t="s">
        <v>145</v>
      </c>
      <c r="AG4" s="12" t="s">
        <v>146</v>
      </c>
      <c r="AH4" s="12" t="s">
        <v>147</v>
      </c>
      <c r="AI4" s="12" t="s">
        <v>148</v>
      </c>
      <c r="AJ4" s="12" t="s">
        <v>149</v>
      </c>
      <c r="AK4" s="12" t="s">
        <v>150</v>
      </c>
      <c r="AL4" s="12" t="s">
        <v>151</v>
      </c>
      <c r="AM4" s="12" t="s">
        <v>152</v>
      </c>
      <c r="AN4" s="12" t="s">
        <v>153</v>
      </c>
      <c r="AO4" s="12" t="s">
        <v>154</v>
      </c>
      <c r="AP4" s="12" t="s">
        <v>155</v>
      </c>
      <c r="AQ4" s="12" t="s">
        <v>156</v>
      </c>
      <c r="AR4" s="12" t="s">
        <v>157</v>
      </c>
      <c r="AS4" s="12" t="s">
        <v>158</v>
      </c>
      <c r="AT4" s="12" t="s">
        <v>159</v>
      </c>
      <c r="AU4" s="12" t="s">
        <v>160</v>
      </c>
    </row>
    <row r="5" customFormat="false" ht="15" hidden="false" customHeight="false" outlineLevel="0" collapsed="false">
      <c r="A5" s="13" t="s">
        <v>62</v>
      </c>
      <c r="B5" s="18" t="s">
        <v>47</v>
      </c>
      <c r="C5" s="18" t="s">
        <v>41</v>
      </c>
      <c r="D5" s="29" t="n">
        <v>1.5</v>
      </c>
      <c r="E5" s="30" t="s">
        <v>161</v>
      </c>
      <c r="F5" s="21" t="n">
        <f aca="false">Entradas!E5</f>
        <v>0</v>
      </c>
      <c r="G5" s="21" t="n">
        <f aca="false">Entradas!E6</f>
        <v>27</v>
      </c>
      <c r="H5" s="21" t="n">
        <f aca="false">Entradas!E7</f>
        <v>16</v>
      </c>
      <c r="I5" s="31" t="n">
        <f aca="false">IF(E5="NF en la base",H5-Entradas!$C$19,H5)</f>
        <v>6.19</v>
      </c>
      <c r="J5" s="15" t="n">
        <f aca="false">H5*Entradas!$C$18</f>
        <v>24</v>
      </c>
      <c r="K5" s="32" t="n">
        <f aca="false">TAN(RADIANS(45+G5/2))^2</f>
        <v>2.66293992878508</v>
      </c>
      <c r="L5" s="31" t="n">
        <f aca="false">EXP(PI()*TAN(RADIANS(G5)))*K5</f>
        <v>13.1991463599928</v>
      </c>
      <c r="M5" s="31" t="n">
        <f aca="false">(L5-1)/TAN(RADIANS(G5))</f>
        <v>23.9421728043168</v>
      </c>
      <c r="N5" s="31" t="n">
        <f aca="false">(L5-1)*TAN(RADIANS(1.4*G5))</f>
        <v>9.46262788374189</v>
      </c>
      <c r="O5" s="32" t="n">
        <f aca="false">1+0.2*K5*Entradas!$C$22</f>
        <v>1.53258798575702</v>
      </c>
      <c r="P5" s="32" t="n">
        <f aca="false">1+0.1*K5*Entradas!$C$22</f>
        <v>1.26629399287851</v>
      </c>
      <c r="Q5" s="32" t="n">
        <f aca="false">1+0.2*SQRT(K5)*Entradas!$C$18/D5</f>
        <v>1.32637033742576</v>
      </c>
      <c r="R5" s="32" t="n">
        <f aca="false">1+0.1*SQRT(K5)*Entradas!$C$18/D5</f>
        <v>1.16318516871288</v>
      </c>
      <c r="S5" s="19" t="n">
        <f aca="false">F5*M5*O5*Q5+J5*L5*P5*R5+0.5*I5*D5*N5*P5*R5</f>
        <v>531.301814757669</v>
      </c>
      <c r="T5" s="19" t="n">
        <f aca="false">S5/Entradas!$C$27</f>
        <v>177.100604919223</v>
      </c>
      <c r="U5" s="19" t="n">
        <f aca="false">AI5</f>
        <v>199.630907290551</v>
      </c>
      <c r="V5" s="19" t="n">
        <f aca="false">MIN(T5,U5)</f>
        <v>177.100604919223</v>
      </c>
      <c r="W5" s="33" t="n">
        <f aca="false">Entradas!E8</f>
        <v>1915.2</v>
      </c>
      <c r="X5" s="19" t="n">
        <f aca="false">Entradas!$C$20*W5/(Entradas!$C$21*D5*(1-Entradas!E9^2))+J5</f>
        <v>60.1827227498869</v>
      </c>
      <c r="Y5" s="16" t="n">
        <f aca="false">MIN(V5,X5)</f>
        <v>60.1827227498869</v>
      </c>
      <c r="Z5" s="18" t="str">
        <f aca="false">IF(X5&lt;V5,"Asentamiento",IF(T5&lt;=U5,"Falla (FSICP)","Falla (FSB directo)"))</f>
        <v>Asentamiento</v>
      </c>
      <c r="AA5" s="19" t="n">
        <f aca="false">MIN(S5/Entradas!$C$28,AO5)</f>
        <v>212.520725903068</v>
      </c>
      <c r="AB5" s="19" t="n">
        <f aca="false">MIN(S5/Entradas!$C$29,AU5)</f>
        <v>354.201209838446</v>
      </c>
      <c r="AD5" s="31" t="n">
        <f aca="false">DEGREES(ATAN(TAN(RADIANS(G5))/Entradas!$D$27))</f>
        <v>18.7617834541533</v>
      </c>
      <c r="AE5" s="32" t="n">
        <f aca="false">TAN(RADIANS(45+AD5/2))^2</f>
        <v>1.94826185584525</v>
      </c>
      <c r="AF5" s="31" t="n">
        <f aca="false">EXP(PI()*TAN(RADIANS(AD5)))*AE5</f>
        <v>5.66374438196779</v>
      </c>
      <c r="AG5" s="31" t="n">
        <f aca="false">(AF5-1)/TAN(RADIANS(AD5))</f>
        <v>13.7296705785609</v>
      </c>
      <c r="AH5" s="31" t="n">
        <f aca="false">(AF5-1)*TAN(RADIANS(1.4*AD5))</f>
        <v>2.30157381150796</v>
      </c>
      <c r="AI5" s="19" t="n">
        <f aca="false">F5/Entradas!$D$27*AG5*(1+0.2*AE5*Entradas!$C$22)*(1+0.2*SQRT(AE5)*Entradas!$C$18/D5)+J5*AF5*(1+0.1*AE5*Entradas!$C$22)*(1+0.1*SQRT(AE5)*Entradas!$C$18/D5)+0.5*I5*D5*AH5*(1+0.1*AE5*Entradas!$C$22)*(1+0.1*SQRT(AE5)*Entradas!$C$18/D5)</f>
        <v>199.630907290551</v>
      </c>
      <c r="AJ5" s="31" t="n">
        <f aca="false">DEGREES(ATAN(TAN(RADIANS(G5))/Entradas!$D$28))</f>
        <v>22.1768094195316</v>
      </c>
      <c r="AK5" s="32" t="n">
        <f aca="false">TAN(RADIANS(45+AJ5/2))^2</f>
        <v>2.21267597504984</v>
      </c>
      <c r="AL5" s="31" t="n">
        <f aca="false">EXP(PI()*TAN(RADIANS(AJ5)))*AK5</f>
        <v>7.96279252965576</v>
      </c>
      <c r="AM5" s="31" t="n">
        <f aca="false">(AL5-1)/TAN(RADIANS(AJ5))</f>
        <v>17.081562207944</v>
      </c>
      <c r="AN5" s="31" t="n">
        <f aca="false">(AL5-1)*TAN(RADIANS(1.4*AJ5))</f>
        <v>4.19153363514743</v>
      </c>
      <c r="AO5" s="19" t="n">
        <f aca="false">F5/Entradas!$D$28*AM5*(1+0.2*AK5*Entradas!$C$22)*(1+0.2*SQRT(AK5)*Entradas!$C$18/D5)+J5*AL5*(1+0.1*AK5*Entradas!$C$22)*(1+0.1*SQRT(AK5)*Entradas!$C$18/D5)+0.5*I5*D5*AN5*(1+0.1*AK5*Entradas!$C$22)*(1+0.1*SQRT(AK5)*Entradas!$C$18/D5)</f>
        <v>295.410074077655</v>
      </c>
      <c r="AP5" s="31" t="n">
        <f aca="false">DEGREES(ATAN(TAN(RADIANS(G5))/Entradas!$D$29))</f>
        <v>24.8538058843088</v>
      </c>
      <c r="AQ5" s="32" t="n">
        <f aca="false">TAN(RADIANS(45+AP5/2))^2</f>
        <v>2.45008645537156</v>
      </c>
      <c r="AR5" s="31" t="n">
        <f aca="false">EXP(PI()*TAN(RADIANS(AP5)))*AQ5</f>
        <v>10.4994680366438</v>
      </c>
      <c r="AS5" s="31" t="n">
        <f aca="false">(AR5-1)/TAN(RADIANS(AP5))</f>
        <v>20.5081313419703</v>
      </c>
      <c r="AT5" s="31" t="n">
        <f aca="false">(AR5-1)*TAN(RADIANS(1.4*AP5))</f>
        <v>6.60115362599595</v>
      </c>
      <c r="AU5" s="19" t="n">
        <f aca="false">F5/Entradas!$D$29*AS5*(1+0.2*AQ5*Entradas!$C$22)*(1+0.2*SQRT(AQ5)*Entradas!$C$18/D5)+J5*AR5*(1+0.1*AQ5*Entradas!$C$22)*(1+0.1*SQRT(AQ5)*Entradas!$C$18/D5)+0.5*I5*D5*AT5*(1+0.1*AQ5*Entradas!$C$22)*(1+0.1*SQRT(AQ5)*Entradas!$C$18/D5)</f>
        <v>406.959642576467</v>
      </c>
    </row>
    <row r="6" customFormat="false" ht="15" hidden="false" customHeight="false" outlineLevel="0" collapsed="false">
      <c r="A6" s="13" t="s">
        <v>62</v>
      </c>
      <c r="B6" s="18" t="s">
        <v>47</v>
      </c>
      <c r="C6" s="18" t="s">
        <v>41</v>
      </c>
      <c r="D6" s="29" t="n">
        <v>1.5</v>
      </c>
      <c r="E6" s="30" t="s">
        <v>162</v>
      </c>
      <c r="F6" s="21" t="n">
        <f aca="false">Entradas!E5</f>
        <v>0</v>
      </c>
      <c r="G6" s="21" t="n">
        <f aca="false">Entradas!E6</f>
        <v>27</v>
      </c>
      <c r="H6" s="21" t="n">
        <f aca="false">Entradas!E7</f>
        <v>16</v>
      </c>
      <c r="I6" s="31" t="n">
        <f aca="false">IF(E6="NF en la base",H6-Entradas!$C$19,H6)</f>
        <v>16</v>
      </c>
      <c r="J6" s="15" t="n">
        <f aca="false">H6*Entradas!$C$18</f>
        <v>24</v>
      </c>
      <c r="K6" s="32" t="n">
        <f aca="false">TAN(RADIANS(45+G6/2))^2</f>
        <v>2.66293992878508</v>
      </c>
      <c r="L6" s="31" t="n">
        <f aca="false">EXP(PI()*TAN(RADIANS(G6)))*K6</f>
        <v>13.1991463599928</v>
      </c>
      <c r="M6" s="31" t="n">
        <f aca="false">(L6-1)/TAN(RADIANS(G6))</f>
        <v>23.9421728043168</v>
      </c>
      <c r="N6" s="31" t="n">
        <f aca="false">(L6-1)*TAN(RADIANS(1.4*G6))</f>
        <v>9.46262788374189</v>
      </c>
      <c r="O6" s="32" t="n">
        <f aca="false">1+0.2*K6*Entradas!$C$22</f>
        <v>1.53258798575702</v>
      </c>
      <c r="P6" s="32" t="n">
        <f aca="false">1+0.1*K6*Entradas!$C$22</f>
        <v>1.26629399287851</v>
      </c>
      <c r="Q6" s="32" t="n">
        <f aca="false">1+0.2*SQRT(K6)*Entradas!$C$18/D6</f>
        <v>1.32637033742576</v>
      </c>
      <c r="R6" s="32" t="n">
        <f aca="false">1+0.1*SQRT(K6)*Entradas!$C$18/D6</f>
        <v>1.16318516871288</v>
      </c>
      <c r="S6" s="19" t="n">
        <f aca="false">F6*M6*O6*Q6+J6*L6*P6*R6+0.5*I6*D6*N6*P6*R6</f>
        <v>633.849399323048</v>
      </c>
      <c r="T6" s="19" t="n">
        <f aca="false">S6/Entradas!$C$27</f>
        <v>211.283133107683</v>
      </c>
      <c r="U6" s="19" t="n">
        <f aca="false">AI6</f>
        <v>222.688012761771</v>
      </c>
      <c r="V6" s="19" t="n">
        <f aca="false">MIN(T6,U6)</f>
        <v>211.283133107683</v>
      </c>
      <c r="W6" s="33" t="n">
        <f aca="false">Entradas!E8</f>
        <v>1915.2</v>
      </c>
      <c r="X6" s="19" t="n">
        <f aca="false">Entradas!$C$20*W6/(Entradas!$C$21*D6*(1-Entradas!E9^2))+J6</f>
        <v>60.1827227498869</v>
      </c>
      <c r="Y6" s="16" t="n">
        <f aca="false">MIN(V6,X6)</f>
        <v>60.1827227498869</v>
      </c>
      <c r="Z6" s="18" t="str">
        <f aca="false">IF(X6&lt;V6,"Asentamiento",IF(T6&lt;=U6,"Falla (FSICP)","Falla (FSB directo)"))</f>
        <v>Asentamiento</v>
      </c>
      <c r="AA6" s="19" t="n">
        <f aca="false">MIN(S6/Entradas!$C$28,AO6)</f>
        <v>253.539759729219</v>
      </c>
      <c r="AB6" s="19" t="n">
        <f aca="false">MIN(S6/Entradas!$C$29,AU6)</f>
        <v>422.566266215365</v>
      </c>
      <c r="AD6" s="31" t="n">
        <f aca="false">DEGREES(ATAN(TAN(RADIANS(G6))/Entradas!$D$27))</f>
        <v>18.7617834541533</v>
      </c>
      <c r="AE6" s="32" t="n">
        <f aca="false">TAN(RADIANS(45+AD6/2))^2</f>
        <v>1.94826185584525</v>
      </c>
      <c r="AF6" s="31" t="n">
        <f aca="false">EXP(PI()*TAN(RADIANS(AD6)))*AE6</f>
        <v>5.66374438196779</v>
      </c>
      <c r="AG6" s="31" t="n">
        <f aca="false">(AF6-1)/TAN(RADIANS(AD6))</f>
        <v>13.7296705785609</v>
      </c>
      <c r="AH6" s="31" t="n">
        <f aca="false">(AF6-1)*TAN(RADIANS(1.4*AD6))</f>
        <v>2.30157381150796</v>
      </c>
      <c r="AI6" s="19" t="n">
        <f aca="false">F6/Entradas!$D$27*AG6*(1+0.2*AE6*Entradas!$C$22)*(1+0.2*SQRT(AE6)*Entradas!$C$18/D6)+J6*AF6*(1+0.1*AE6*Entradas!$C$22)*(1+0.1*SQRT(AE6)*Entradas!$C$18/D6)+0.5*I6*D6*AH6*(1+0.1*AE6*Entradas!$C$22)*(1+0.1*SQRT(AE6)*Entradas!$C$18/D6)</f>
        <v>222.688012761771</v>
      </c>
      <c r="AJ6" s="31" t="n">
        <f aca="false">DEGREES(ATAN(TAN(RADIANS(G6))/Entradas!$D$28))</f>
        <v>22.1768094195316</v>
      </c>
      <c r="AK6" s="32" t="n">
        <f aca="false">TAN(RADIANS(45+AJ6/2))^2</f>
        <v>2.21267597504984</v>
      </c>
      <c r="AL6" s="31" t="n">
        <f aca="false">EXP(PI()*TAN(RADIANS(AJ6)))*AK6</f>
        <v>7.96279252965576</v>
      </c>
      <c r="AM6" s="31" t="n">
        <f aca="false">(AL6-1)/TAN(RADIANS(AJ6))</f>
        <v>17.081562207944</v>
      </c>
      <c r="AN6" s="31" t="n">
        <f aca="false">(AL6-1)*TAN(RADIANS(1.4*AJ6))</f>
        <v>4.19153363514743</v>
      </c>
      <c r="AO6" s="19" t="n">
        <f aca="false">F6/Entradas!$D$28*AM6*(1+0.2*AK6*Entradas!$C$22)*(1+0.2*SQRT(AK6)*Entradas!$C$18/D6)+J6*AL6*(1+0.1*AK6*Entradas!$C$22)*(1+0.1*SQRT(AK6)*Entradas!$C$18/D6)+0.5*I6*D6*AN6*(1+0.1*AK6*Entradas!$C$22)*(1+0.1*SQRT(AK6)*Entradas!$C$18/D6)</f>
        <v>338.675385685835</v>
      </c>
      <c r="AP6" s="31" t="n">
        <f aca="false">DEGREES(ATAN(TAN(RADIANS(G6))/Entradas!$D$29))</f>
        <v>24.8538058843088</v>
      </c>
      <c r="AQ6" s="32" t="n">
        <f aca="false">TAN(RADIANS(45+AP6/2))^2</f>
        <v>2.45008645537156</v>
      </c>
      <c r="AR6" s="31" t="n">
        <f aca="false">EXP(PI()*TAN(RADIANS(AP6)))*AQ6</f>
        <v>10.4994680366438</v>
      </c>
      <c r="AS6" s="31" t="n">
        <f aca="false">(AR6-1)/TAN(RADIANS(AP6))</f>
        <v>20.5081313419703</v>
      </c>
      <c r="AT6" s="31" t="n">
        <f aca="false">(AR6-1)*TAN(RADIANS(1.4*AP6))</f>
        <v>6.60115362599595</v>
      </c>
      <c r="AU6" s="19" t="n">
        <f aca="false">F6/Entradas!$D$29*AS6*(1+0.2*AQ6*Entradas!$C$22)*(1+0.2*SQRT(AQ6)*Entradas!$C$18/D6)+J6*AR6*(1+0.1*AQ6*Entradas!$C$22)*(1+0.1*SQRT(AQ6)*Entradas!$C$18/D6)+0.5*I6*D6*AT6*(1+0.1*AQ6*Entradas!$C$22)*(1+0.1*SQRT(AQ6)*Entradas!$C$18/D6)</f>
        <v>476.892045239616</v>
      </c>
    </row>
    <row r="7" customFormat="false" ht="15" hidden="false" customHeight="false" outlineLevel="0" collapsed="false">
      <c r="A7" s="13" t="s">
        <v>62</v>
      </c>
      <c r="B7" s="18" t="s">
        <v>47</v>
      </c>
      <c r="C7" s="18" t="s">
        <v>41</v>
      </c>
      <c r="D7" s="29" t="n">
        <v>2</v>
      </c>
      <c r="E7" s="30" t="s">
        <v>161</v>
      </c>
      <c r="F7" s="21" t="n">
        <f aca="false">Entradas!E5</f>
        <v>0</v>
      </c>
      <c r="G7" s="21" t="n">
        <f aca="false">Entradas!E6</f>
        <v>27</v>
      </c>
      <c r="H7" s="21" t="n">
        <f aca="false">Entradas!E7</f>
        <v>16</v>
      </c>
      <c r="I7" s="31" t="n">
        <f aca="false">IF(E7="NF en la base",H7-Entradas!$C$19,H7)</f>
        <v>6.19</v>
      </c>
      <c r="J7" s="15" t="n">
        <f aca="false">H7*Entradas!$C$18</f>
        <v>24</v>
      </c>
      <c r="K7" s="32" t="n">
        <f aca="false">TAN(RADIANS(45+G7/2))^2</f>
        <v>2.66293992878508</v>
      </c>
      <c r="L7" s="31" t="n">
        <f aca="false">EXP(PI()*TAN(RADIANS(G7)))*K7</f>
        <v>13.1991463599928</v>
      </c>
      <c r="M7" s="31" t="n">
        <f aca="false">(L7-1)/TAN(RADIANS(G7))</f>
        <v>23.9421728043168</v>
      </c>
      <c r="N7" s="31" t="n">
        <f aca="false">(L7-1)*TAN(RADIANS(1.4*G7))</f>
        <v>9.46262788374189</v>
      </c>
      <c r="O7" s="32" t="n">
        <f aca="false">1+0.2*K7*Entradas!$C$22</f>
        <v>1.53258798575702</v>
      </c>
      <c r="P7" s="32" t="n">
        <f aca="false">1+0.1*K7*Entradas!$C$22</f>
        <v>1.26629399287851</v>
      </c>
      <c r="Q7" s="32" t="n">
        <f aca="false">1+0.2*SQRT(K7)*Entradas!$C$18/D7</f>
        <v>1.24477775306932</v>
      </c>
      <c r="R7" s="32" t="n">
        <f aca="false">1+0.1*SQRT(K7)*Entradas!$C$18/D7</f>
        <v>1.12238887653466</v>
      </c>
      <c r="S7" s="19" t="n">
        <f aca="false">F7*M7*O7*Q7+J7*L7*P7*R7+0.5*I7*D7*N7*P7*R7</f>
        <v>533.479824085621</v>
      </c>
      <c r="T7" s="19" t="n">
        <f aca="false">S7/Entradas!$C$27</f>
        <v>177.82660802854</v>
      </c>
      <c r="U7" s="19" t="n">
        <f aca="false">AI7</f>
        <v>198.219109865411</v>
      </c>
      <c r="V7" s="19" t="n">
        <f aca="false">MIN(T7,U7)</f>
        <v>177.82660802854</v>
      </c>
      <c r="W7" s="33" t="n">
        <f aca="false">Entradas!E8</f>
        <v>1915.2</v>
      </c>
      <c r="X7" s="19" t="n">
        <f aca="false">Entradas!$C$20*W7/(Entradas!$C$21*D7*(1-Entradas!E9^2))+J7</f>
        <v>51.1370420624152</v>
      </c>
      <c r="Y7" s="16" t="n">
        <f aca="false">MIN(V7,X7)</f>
        <v>51.1370420624152</v>
      </c>
      <c r="Z7" s="18" t="str">
        <f aca="false">IF(X7&lt;V7,"Asentamiento",IF(T7&lt;=U7,"Falla (FSICP)","Falla (FSB directo)"))</f>
        <v>Asentamiento</v>
      </c>
      <c r="AA7" s="19" t="n">
        <f aca="false">MIN(S7/Entradas!$C$28,AO7)</f>
        <v>213.391929634248</v>
      </c>
      <c r="AB7" s="19" t="n">
        <f aca="false">MIN(S7/Entradas!$C$29,AU7)</f>
        <v>355.653216057081</v>
      </c>
      <c r="AD7" s="31" t="n">
        <f aca="false">DEGREES(ATAN(TAN(RADIANS(G7))/Entradas!$D$27))</f>
        <v>18.7617834541533</v>
      </c>
      <c r="AE7" s="32" t="n">
        <f aca="false">TAN(RADIANS(45+AD7/2))^2</f>
        <v>1.94826185584525</v>
      </c>
      <c r="AF7" s="31" t="n">
        <f aca="false">EXP(PI()*TAN(RADIANS(AD7)))*AE7</f>
        <v>5.66374438196779</v>
      </c>
      <c r="AG7" s="31" t="n">
        <f aca="false">(AF7-1)/TAN(RADIANS(AD7))</f>
        <v>13.7296705785609</v>
      </c>
      <c r="AH7" s="31" t="n">
        <f aca="false">(AF7-1)*TAN(RADIANS(1.4*AD7))</f>
        <v>2.30157381150796</v>
      </c>
      <c r="AI7" s="19" t="n">
        <f aca="false">F7/Entradas!$D$27*AG7*(1+0.2*AE7*Entradas!$C$22)*(1+0.2*SQRT(AE7)*Entradas!$C$18/D7)+J7*AF7*(1+0.1*AE7*Entradas!$C$22)*(1+0.1*SQRT(AE7)*Entradas!$C$18/D7)+0.5*I7*D7*AH7*(1+0.1*AE7*Entradas!$C$22)*(1+0.1*SQRT(AE7)*Entradas!$C$18/D7)</f>
        <v>198.219109865411</v>
      </c>
      <c r="AJ7" s="31" t="n">
        <f aca="false">DEGREES(ATAN(TAN(RADIANS(G7))/Entradas!$D$28))</f>
        <v>22.1768094195316</v>
      </c>
      <c r="AK7" s="32" t="n">
        <f aca="false">TAN(RADIANS(45+AJ7/2))^2</f>
        <v>2.21267597504984</v>
      </c>
      <c r="AL7" s="31" t="n">
        <f aca="false">EXP(PI()*TAN(RADIANS(AJ7)))*AK7</f>
        <v>7.96279252965576</v>
      </c>
      <c r="AM7" s="31" t="n">
        <f aca="false">(AL7-1)/TAN(RADIANS(AJ7))</f>
        <v>17.081562207944</v>
      </c>
      <c r="AN7" s="31" t="n">
        <f aca="false">(AL7-1)*TAN(RADIANS(1.4*AJ7))</f>
        <v>4.19153363514743</v>
      </c>
      <c r="AO7" s="19" t="n">
        <f aca="false">F7/Entradas!$D$28*AM7*(1+0.2*AK7*Entradas!$C$22)*(1+0.2*SQRT(AK7)*Entradas!$C$18/D7)+J7*AL7*(1+0.1*AK7*Entradas!$C$22)*(1+0.1*SQRT(AK7)*Entradas!$C$18/D7)+0.5*I7*D7*AN7*(1+0.1*AK7*Entradas!$C$22)*(1+0.1*SQRT(AK7)*Entradas!$C$18/D7)</f>
        <v>294.652368261947</v>
      </c>
      <c r="AP7" s="31" t="n">
        <f aca="false">DEGREES(ATAN(TAN(RADIANS(G7))/Entradas!$D$29))</f>
        <v>24.8538058843088</v>
      </c>
      <c r="AQ7" s="32" t="n">
        <f aca="false">TAN(RADIANS(45+AP7/2))^2</f>
        <v>2.45008645537156</v>
      </c>
      <c r="AR7" s="31" t="n">
        <f aca="false">EXP(PI()*TAN(RADIANS(AP7)))*AQ7</f>
        <v>10.4994680366438</v>
      </c>
      <c r="AS7" s="31" t="n">
        <f aca="false">(AR7-1)/TAN(RADIANS(AP7))</f>
        <v>20.5081313419703</v>
      </c>
      <c r="AT7" s="31" t="n">
        <f aca="false">(AR7-1)*TAN(RADIANS(1.4*AP7))</f>
        <v>6.60115362599595</v>
      </c>
      <c r="AU7" s="19" t="n">
        <f aca="false">F7/Entradas!$D$29*AS7*(1+0.2*AQ7*Entradas!$C$22)*(1+0.2*SQRT(AQ7)*Entradas!$C$18/D7)+J7*AR7*(1+0.1*AQ7*Entradas!$C$22)*(1+0.1*SQRT(AQ7)*Entradas!$C$18/D7)+0.5*I7*D7*AT7*(1+0.1*AQ7*Entradas!$C$22)*(1+0.1*SQRT(AQ7)*Entradas!$C$18/D7)</f>
        <v>407.401061724325</v>
      </c>
    </row>
    <row r="8" customFormat="false" ht="15" hidden="false" customHeight="false" outlineLevel="0" collapsed="false">
      <c r="A8" s="13" t="s">
        <v>62</v>
      </c>
      <c r="B8" s="18" t="s">
        <v>47</v>
      </c>
      <c r="C8" s="18" t="s">
        <v>41</v>
      </c>
      <c r="D8" s="29" t="n">
        <v>2</v>
      </c>
      <c r="E8" s="30" t="s">
        <v>162</v>
      </c>
      <c r="F8" s="21" t="n">
        <f aca="false">Entradas!E5</f>
        <v>0</v>
      </c>
      <c r="G8" s="21" t="n">
        <f aca="false">Entradas!E6</f>
        <v>27</v>
      </c>
      <c r="H8" s="21" t="n">
        <f aca="false">Entradas!E7</f>
        <v>16</v>
      </c>
      <c r="I8" s="31" t="n">
        <f aca="false">IF(E8="NF en la base",H8-Entradas!$C$19,H8)</f>
        <v>16</v>
      </c>
      <c r="J8" s="15" t="n">
        <f aca="false">H8*Entradas!$C$18</f>
        <v>24</v>
      </c>
      <c r="K8" s="32" t="n">
        <f aca="false">TAN(RADIANS(45+G8/2))^2</f>
        <v>2.66293992878508</v>
      </c>
      <c r="L8" s="31" t="n">
        <f aca="false">EXP(PI()*TAN(RADIANS(G8)))*K8</f>
        <v>13.1991463599928</v>
      </c>
      <c r="M8" s="31" t="n">
        <f aca="false">(L8-1)/TAN(RADIANS(G8))</f>
        <v>23.9421728043168</v>
      </c>
      <c r="N8" s="31" t="n">
        <f aca="false">(L8-1)*TAN(RADIANS(1.4*G8))</f>
        <v>9.46262788374189</v>
      </c>
      <c r="O8" s="32" t="n">
        <f aca="false">1+0.2*K8*Entradas!$C$22</f>
        <v>1.53258798575702</v>
      </c>
      <c r="P8" s="32" t="n">
        <f aca="false">1+0.1*K8*Entradas!$C$22</f>
        <v>1.26629399287851</v>
      </c>
      <c r="Q8" s="32" t="n">
        <f aca="false">1+0.2*SQRT(K8)*Entradas!$C$18/D8</f>
        <v>1.24477775306932</v>
      </c>
      <c r="R8" s="32" t="n">
        <f aca="false">1+0.1*SQRT(K8)*Entradas!$C$18/D8</f>
        <v>1.12238887653466</v>
      </c>
      <c r="S8" s="19" t="n">
        <f aca="false">F8*M8*O8*Q8+J8*L8*P8*R8+0.5*I8*D8*N8*P8*R8</f>
        <v>665.414413495881</v>
      </c>
      <c r="T8" s="19" t="n">
        <f aca="false">S8/Entradas!$C$27</f>
        <v>221.804804498627</v>
      </c>
      <c r="U8" s="19" t="n">
        <f aca="false">AI8</f>
        <v>228.020542900486</v>
      </c>
      <c r="V8" s="19" t="n">
        <f aca="false">MIN(T8,U8)</f>
        <v>221.804804498627</v>
      </c>
      <c r="W8" s="33" t="n">
        <f aca="false">Entradas!E8</f>
        <v>1915.2</v>
      </c>
      <c r="X8" s="19" t="n">
        <f aca="false">Entradas!$C$20*W8/(Entradas!$C$21*D8*(1-Entradas!E9^2))+J8</f>
        <v>51.1370420624152</v>
      </c>
      <c r="Y8" s="16" t="n">
        <f aca="false">MIN(V8,X8)</f>
        <v>51.1370420624152</v>
      </c>
      <c r="Z8" s="18" t="str">
        <f aca="false">IF(X8&lt;V8,"Asentamiento",IF(T8&lt;=U8,"Falla (FSICP)","Falla (FSB directo)"))</f>
        <v>Asentamiento</v>
      </c>
      <c r="AA8" s="19" t="n">
        <f aca="false">MIN(S8/Entradas!$C$28,AO8)</f>
        <v>266.165765398352</v>
      </c>
      <c r="AB8" s="19" t="n">
        <f aca="false">MIN(S8/Entradas!$C$29,AU8)</f>
        <v>443.609608997254</v>
      </c>
      <c r="AD8" s="31" t="n">
        <f aca="false">DEGREES(ATAN(TAN(RADIANS(G8))/Entradas!$D$27))</f>
        <v>18.7617834541533</v>
      </c>
      <c r="AE8" s="32" t="n">
        <f aca="false">TAN(RADIANS(45+AD8/2))^2</f>
        <v>1.94826185584525</v>
      </c>
      <c r="AF8" s="31" t="n">
        <f aca="false">EXP(PI()*TAN(RADIANS(AD8)))*AE8</f>
        <v>5.66374438196779</v>
      </c>
      <c r="AG8" s="31" t="n">
        <f aca="false">(AF8-1)/TAN(RADIANS(AD8))</f>
        <v>13.7296705785609</v>
      </c>
      <c r="AH8" s="31" t="n">
        <f aca="false">(AF8-1)*TAN(RADIANS(1.4*AD8))</f>
        <v>2.30157381150796</v>
      </c>
      <c r="AI8" s="19" t="n">
        <f aca="false">F8/Entradas!$D$27*AG8*(1+0.2*AE8*Entradas!$C$22)*(1+0.2*SQRT(AE8)*Entradas!$C$18/D8)+J8*AF8*(1+0.1*AE8*Entradas!$C$22)*(1+0.1*SQRT(AE8)*Entradas!$C$18/D8)+0.5*I8*D8*AH8*(1+0.1*AE8*Entradas!$C$22)*(1+0.1*SQRT(AE8)*Entradas!$C$18/D8)</f>
        <v>228.020542900486</v>
      </c>
      <c r="AJ8" s="31" t="n">
        <f aca="false">DEGREES(ATAN(TAN(RADIANS(G8))/Entradas!$D$28))</f>
        <v>22.1768094195316</v>
      </c>
      <c r="AK8" s="32" t="n">
        <f aca="false">TAN(RADIANS(45+AJ8/2))^2</f>
        <v>2.21267597504984</v>
      </c>
      <c r="AL8" s="31" t="n">
        <f aca="false">EXP(PI()*TAN(RADIANS(AJ8)))*AK8</f>
        <v>7.96279252965576</v>
      </c>
      <c r="AM8" s="31" t="n">
        <f aca="false">(AL8-1)/TAN(RADIANS(AJ8))</f>
        <v>17.081562207944</v>
      </c>
      <c r="AN8" s="31" t="n">
        <f aca="false">(AL8-1)*TAN(RADIANS(1.4*AJ8))</f>
        <v>4.19153363514743</v>
      </c>
      <c r="AO8" s="19" t="n">
        <f aca="false">F8/Entradas!$D$28*AM8*(1+0.2*AK8*Entradas!$C$22)*(1+0.2*SQRT(AK8)*Entradas!$C$18/D8)+J8*AL8*(1+0.1*AK8*Entradas!$C$22)*(1+0.1*SQRT(AK8)*Entradas!$C$18/D8)+0.5*I8*D8*AN8*(1+0.1*AK8*Entradas!$C$22)*(1+0.1*SQRT(AK8)*Entradas!$C$18/D8)</f>
        <v>350.47198865118</v>
      </c>
      <c r="AP8" s="31" t="n">
        <f aca="false">DEGREES(ATAN(TAN(RADIANS(G8))/Entradas!$D$29))</f>
        <v>24.8538058843088</v>
      </c>
      <c r="AQ8" s="32" t="n">
        <f aca="false">TAN(RADIANS(45+AP8/2))^2</f>
        <v>2.45008645537156</v>
      </c>
      <c r="AR8" s="31" t="n">
        <f aca="false">EXP(PI()*TAN(RADIANS(AP8)))*AQ8</f>
        <v>10.4994680366438</v>
      </c>
      <c r="AS8" s="31" t="n">
        <f aca="false">(AR8-1)/TAN(RADIANS(AP8))</f>
        <v>20.5081313419703</v>
      </c>
      <c r="AT8" s="31" t="n">
        <f aca="false">(AR8-1)*TAN(RADIANS(1.4*AP8))</f>
        <v>6.60115362599595</v>
      </c>
      <c r="AU8" s="19" t="n">
        <f aca="false">F8/Entradas!$D$29*AS8*(1+0.2*AQ8*Entradas!$C$22)*(1+0.2*SQRT(AQ8)*Entradas!$C$18/D8)+J8*AR8*(1+0.1*AQ8*Entradas!$C$22)*(1+0.1*SQRT(AQ8)*Entradas!$C$18/D8)+0.5*I8*D8*AT8*(1+0.1*AQ8*Entradas!$C$22)*(1+0.1*SQRT(AQ8)*Entradas!$C$18/D8)</f>
        <v>497.489319291277</v>
      </c>
    </row>
    <row r="9" customFormat="false" ht="15" hidden="false" customHeight="false" outlineLevel="0" collapsed="false">
      <c r="A9" s="13" t="s">
        <v>62</v>
      </c>
      <c r="B9" s="18" t="s">
        <v>47</v>
      </c>
      <c r="C9" s="18" t="s">
        <v>41</v>
      </c>
      <c r="D9" s="29" t="n">
        <v>3</v>
      </c>
      <c r="E9" s="30" t="s">
        <v>161</v>
      </c>
      <c r="F9" s="21" t="n">
        <f aca="false">Entradas!E5</f>
        <v>0</v>
      </c>
      <c r="G9" s="21" t="n">
        <f aca="false">Entradas!E6</f>
        <v>27</v>
      </c>
      <c r="H9" s="21" t="n">
        <f aca="false">Entradas!E7</f>
        <v>16</v>
      </c>
      <c r="I9" s="31" t="n">
        <f aca="false">IF(E9="NF en la base",H9-Entradas!$C$19,H9)</f>
        <v>6.19</v>
      </c>
      <c r="J9" s="15" t="n">
        <f aca="false">H9*Entradas!$C$18</f>
        <v>24</v>
      </c>
      <c r="K9" s="32" t="n">
        <f aca="false">TAN(RADIANS(45+G9/2))^2</f>
        <v>2.66293992878508</v>
      </c>
      <c r="L9" s="31" t="n">
        <f aca="false">EXP(PI()*TAN(RADIANS(G9)))*K9</f>
        <v>13.1991463599928</v>
      </c>
      <c r="M9" s="31" t="n">
        <f aca="false">(L9-1)/TAN(RADIANS(G9))</f>
        <v>23.9421728043168</v>
      </c>
      <c r="N9" s="31" t="n">
        <f aca="false">(L9-1)*TAN(RADIANS(1.4*G9))</f>
        <v>9.46262788374189</v>
      </c>
      <c r="O9" s="32" t="n">
        <f aca="false">1+0.2*K9*Entradas!$C$22</f>
        <v>1.53258798575702</v>
      </c>
      <c r="P9" s="32" t="n">
        <f aca="false">1+0.1*K9*Entradas!$C$22</f>
        <v>1.26629399287851</v>
      </c>
      <c r="Q9" s="32" t="n">
        <f aca="false">1+0.2*SQRT(K9)*Entradas!$C$18/D9</f>
        <v>1.16318516871288</v>
      </c>
      <c r="R9" s="32" t="n">
        <f aca="false">1+0.1*SQRT(K9)*Entradas!$C$18/D9</f>
        <v>1.08159258435644</v>
      </c>
      <c r="S9" s="19" t="n">
        <f aca="false">F9*M9*O9*Q9+J9*L9*P9*R9+0.5*I9*D9*N9*P9*R9</f>
        <v>554.2007039528</v>
      </c>
      <c r="T9" s="19" t="n">
        <f aca="false">S9/Entradas!$C$27</f>
        <v>184.733567984267</v>
      </c>
      <c r="U9" s="19" t="n">
        <f aca="false">AI9</f>
        <v>201.062907508595</v>
      </c>
      <c r="V9" s="19" t="n">
        <f aca="false">MIN(T9,U9)</f>
        <v>184.733567984267</v>
      </c>
      <c r="W9" s="33" t="n">
        <f aca="false">Entradas!E8</f>
        <v>1915.2</v>
      </c>
      <c r="X9" s="19" t="n">
        <f aca="false">Entradas!$C$20*W9/(Entradas!$C$21*D9*(1-Entradas!E9^2))+J9</f>
        <v>42.0913613749435</v>
      </c>
      <c r="Y9" s="16" t="n">
        <f aca="false">MIN(V9,X9)</f>
        <v>42.0913613749435</v>
      </c>
      <c r="Z9" s="18" t="str">
        <f aca="false">IF(X9&lt;V9,"Asentamiento",IF(T9&lt;=U9,"Falla (FSICP)","Falla (FSB directo)"))</f>
        <v>Asentamiento</v>
      </c>
      <c r="AA9" s="19" t="n">
        <f aca="false">MIN(S9/Entradas!$C$28,AO9)</f>
        <v>221.68028158112</v>
      </c>
      <c r="AB9" s="19" t="n">
        <f aca="false">MIN(S9/Entradas!$C$29,AU9)</f>
        <v>369.467135968533</v>
      </c>
      <c r="AD9" s="31" t="n">
        <f aca="false">DEGREES(ATAN(TAN(RADIANS(G9))/Entradas!$D$27))</f>
        <v>18.7617834541533</v>
      </c>
      <c r="AE9" s="32" t="n">
        <f aca="false">TAN(RADIANS(45+AD9/2))^2</f>
        <v>1.94826185584525</v>
      </c>
      <c r="AF9" s="31" t="n">
        <f aca="false">EXP(PI()*TAN(RADIANS(AD9)))*AE9</f>
        <v>5.66374438196779</v>
      </c>
      <c r="AG9" s="31" t="n">
        <f aca="false">(AF9-1)/TAN(RADIANS(AD9))</f>
        <v>13.7296705785609</v>
      </c>
      <c r="AH9" s="31" t="n">
        <f aca="false">(AF9-1)*TAN(RADIANS(1.4*AD9))</f>
        <v>2.30157381150796</v>
      </c>
      <c r="AI9" s="19" t="n">
        <f aca="false">F9/Entradas!$D$27*AG9*(1+0.2*AE9*Entradas!$C$22)*(1+0.2*SQRT(AE9)*Entradas!$C$18/D9)+J9*AF9*(1+0.1*AE9*Entradas!$C$22)*(1+0.1*SQRT(AE9)*Entradas!$C$18/D9)+0.5*I9*D9*AH9*(1+0.1*AE9*Entradas!$C$22)*(1+0.1*SQRT(AE9)*Entradas!$C$18/D9)</f>
        <v>201.062907508595</v>
      </c>
      <c r="AJ9" s="31" t="n">
        <f aca="false">DEGREES(ATAN(TAN(RADIANS(G9))/Entradas!$D$28))</f>
        <v>22.1768094195316</v>
      </c>
      <c r="AK9" s="32" t="n">
        <f aca="false">TAN(RADIANS(45+AJ9/2))^2</f>
        <v>2.21267597504984</v>
      </c>
      <c r="AL9" s="31" t="n">
        <f aca="false">EXP(PI()*TAN(RADIANS(AJ9)))*AK9</f>
        <v>7.96279252965576</v>
      </c>
      <c r="AM9" s="31" t="n">
        <f aca="false">(AL9-1)/TAN(RADIANS(AJ9))</f>
        <v>17.081562207944</v>
      </c>
      <c r="AN9" s="31" t="n">
        <f aca="false">(AL9-1)*TAN(RADIANS(1.4*AJ9))</f>
        <v>4.19153363514743</v>
      </c>
      <c r="AO9" s="19" t="n">
        <f aca="false">F9/Entradas!$D$28*AM9*(1+0.2*AK9*Entradas!$C$22)*(1+0.2*SQRT(AK9)*Entradas!$C$18/D9)+J9*AL9*(1+0.1*AK9*Entradas!$C$22)*(1+0.1*SQRT(AK9)*Entradas!$C$18/D9)+0.5*I9*D9*AN9*(1+0.1*AK9*Entradas!$C$22)*(1+0.1*SQRT(AK9)*Entradas!$C$18/D9)</f>
        <v>301.816290515018</v>
      </c>
      <c r="AP9" s="31" t="n">
        <f aca="false">DEGREES(ATAN(TAN(RADIANS(G9))/Entradas!$D$29))</f>
        <v>24.8538058843088</v>
      </c>
      <c r="AQ9" s="32" t="n">
        <f aca="false">TAN(RADIANS(45+AP9/2))^2</f>
        <v>2.45008645537156</v>
      </c>
      <c r="AR9" s="31" t="n">
        <f aca="false">EXP(PI()*TAN(RADIANS(AP9)))*AQ9</f>
        <v>10.4994680366438</v>
      </c>
      <c r="AS9" s="31" t="n">
        <f aca="false">(AR9-1)/TAN(RADIANS(AP9))</f>
        <v>20.5081313419703</v>
      </c>
      <c r="AT9" s="31" t="n">
        <f aca="false">(AR9-1)*TAN(RADIANS(1.4*AP9))</f>
        <v>6.60115362599595</v>
      </c>
      <c r="AU9" s="19" t="n">
        <f aca="false">F9/Entradas!$D$29*AS9*(1+0.2*AQ9*Entradas!$C$22)*(1+0.2*SQRT(AQ9)*Entradas!$C$18/D9)+J9*AR9*(1+0.1*AQ9*Entradas!$C$22)*(1+0.1*SQRT(AQ9)*Entradas!$C$18/D9)+0.5*I9*D9*AT9*(1+0.1*AQ9*Entradas!$C$22)*(1+0.1*SQRT(AQ9)*Entradas!$C$18/D9)</f>
        <v>420.560599307916</v>
      </c>
    </row>
    <row r="10" customFormat="false" ht="15" hidden="false" customHeight="false" outlineLevel="0" collapsed="false">
      <c r="A10" s="13" t="s">
        <v>62</v>
      </c>
      <c r="B10" s="18" t="s">
        <v>47</v>
      </c>
      <c r="C10" s="18" t="s">
        <v>41</v>
      </c>
      <c r="D10" s="29" t="n">
        <v>3</v>
      </c>
      <c r="E10" s="30" t="s">
        <v>162</v>
      </c>
      <c r="F10" s="21" t="n">
        <f aca="false">Entradas!E5</f>
        <v>0</v>
      </c>
      <c r="G10" s="21" t="n">
        <f aca="false">Entradas!E6</f>
        <v>27</v>
      </c>
      <c r="H10" s="21" t="n">
        <f aca="false">Entradas!E7</f>
        <v>16</v>
      </c>
      <c r="I10" s="31" t="n">
        <f aca="false">IF(E10="NF en la base",H10-Entradas!$C$19,H10)</f>
        <v>16</v>
      </c>
      <c r="J10" s="15" t="n">
        <f aca="false">H10*Entradas!$C$18</f>
        <v>24</v>
      </c>
      <c r="K10" s="32" t="n">
        <f aca="false">TAN(RADIANS(45+G10/2))^2</f>
        <v>2.66293992878508</v>
      </c>
      <c r="L10" s="31" t="n">
        <f aca="false">EXP(PI()*TAN(RADIANS(G10)))*K10</f>
        <v>13.1991463599928</v>
      </c>
      <c r="M10" s="31" t="n">
        <f aca="false">(L10-1)/TAN(RADIANS(G10))</f>
        <v>23.9421728043168</v>
      </c>
      <c r="N10" s="31" t="n">
        <f aca="false">(L10-1)*TAN(RADIANS(1.4*G10))</f>
        <v>9.46262788374189</v>
      </c>
      <c r="O10" s="32" t="n">
        <f aca="false">1+0.2*K10*Entradas!$C$22</f>
        <v>1.53258798575702</v>
      </c>
      <c r="P10" s="32" t="n">
        <f aca="false">1+0.1*K10*Entradas!$C$22</f>
        <v>1.26629399287851</v>
      </c>
      <c r="Q10" s="32" t="n">
        <f aca="false">1+0.2*SQRT(K10)*Entradas!$C$18/D10</f>
        <v>1.16318516871288</v>
      </c>
      <c r="R10" s="32" t="n">
        <f aca="false">1+0.1*SQRT(K10)*Entradas!$C$18/D10</f>
        <v>1.08159258435644</v>
      </c>
      <c r="S10" s="19" t="n">
        <f aca="false">F10*M10*O10*Q10+J10*L10*P10*R10+0.5*I10*D10*N10*P10*R10</f>
        <v>744.909303052822</v>
      </c>
      <c r="T10" s="19" t="n">
        <f aca="false">S10/Entradas!$C$27</f>
        <v>248.303101017607</v>
      </c>
      <c r="U10" s="19" t="n">
        <f aca="false">AI10</f>
        <v>244.352995671383</v>
      </c>
      <c r="V10" s="19" t="n">
        <f aca="false">MIN(T10,U10)</f>
        <v>244.352995671383</v>
      </c>
      <c r="W10" s="33" t="n">
        <f aca="false">Entradas!E8</f>
        <v>1915.2</v>
      </c>
      <c r="X10" s="19" t="n">
        <f aca="false">Entradas!$C$20*W10/(Entradas!$C$21*D10*(1-Entradas!E9^2))+J10</f>
        <v>42.0913613749435</v>
      </c>
      <c r="Y10" s="16" t="n">
        <f aca="false">MIN(V10,X10)</f>
        <v>42.0913613749435</v>
      </c>
      <c r="Z10" s="18" t="str">
        <f aca="false">IF(X10&lt;V10,"Asentamiento",IF(T10&lt;=U10,"Falla (FSICP)","Falla (FSB directo)"))</f>
        <v>Asentamiento</v>
      </c>
      <c r="AA10" s="19" t="n">
        <f aca="false">MIN(S10/Entradas!$C$28,AO10)</f>
        <v>297.963721221129</v>
      </c>
      <c r="AB10" s="19" t="n">
        <f aca="false">MIN(S10/Entradas!$C$29,AU10)</f>
        <v>496.606202035215</v>
      </c>
      <c r="AD10" s="31" t="n">
        <f aca="false">DEGREES(ATAN(TAN(RADIANS(G10))/Entradas!$D$27))</f>
        <v>18.7617834541533</v>
      </c>
      <c r="AE10" s="32" t="n">
        <f aca="false">TAN(RADIANS(45+AD10/2))^2</f>
        <v>1.94826185584525</v>
      </c>
      <c r="AF10" s="31" t="n">
        <f aca="false">EXP(PI()*TAN(RADIANS(AD10)))*AE10</f>
        <v>5.66374438196779</v>
      </c>
      <c r="AG10" s="31" t="n">
        <f aca="false">(AF10-1)/TAN(RADIANS(AD10))</f>
        <v>13.7296705785609</v>
      </c>
      <c r="AH10" s="31" t="n">
        <f aca="false">(AF10-1)*TAN(RADIANS(1.4*AD10))</f>
        <v>2.30157381150796</v>
      </c>
      <c r="AI10" s="19" t="n">
        <f aca="false">F10/Entradas!$D$27*AG10*(1+0.2*AE10*Entradas!$C$22)*(1+0.2*SQRT(AE10)*Entradas!$C$18/D10)+J10*AF10*(1+0.1*AE10*Entradas!$C$22)*(1+0.1*SQRT(AE10)*Entradas!$C$18/D10)+0.5*I10*D10*AH10*(1+0.1*AE10*Entradas!$C$22)*(1+0.1*SQRT(AE10)*Entradas!$C$18/D10)</f>
        <v>244.352995671383</v>
      </c>
      <c r="AJ10" s="31" t="n">
        <f aca="false">DEGREES(ATAN(TAN(RADIANS(G10))/Entradas!$D$28))</f>
        <v>22.1768094195316</v>
      </c>
      <c r="AK10" s="32" t="n">
        <f aca="false">TAN(RADIANS(45+AJ10/2))^2</f>
        <v>2.21267597504984</v>
      </c>
      <c r="AL10" s="31" t="n">
        <f aca="false">EXP(PI()*TAN(RADIANS(AJ10)))*AK10</f>
        <v>7.96279252965576</v>
      </c>
      <c r="AM10" s="31" t="n">
        <f aca="false">(AL10-1)/TAN(RADIANS(AJ10))</f>
        <v>17.081562207944</v>
      </c>
      <c r="AN10" s="31" t="n">
        <f aca="false">(AL10-1)*TAN(RADIANS(1.4*AJ10))</f>
        <v>4.19153363514743</v>
      </c>
      <c r="AO10" s="19" t="n">
        <f aca="false">F10/Entradas!$D$28*AM10*(1+0.2*AK10*Entradas!$C$22)*(1+0.2*SQRT(AK10)*Entradas!$C$18/D10)+J10*AL10*(1+0.1*AK10*Entradas!$C$22)*(1+0.1*SQRT(AK10)*Entradas!$C$18/D10)+0.5*I10*D10*AN10*(1+0.1*AK10*Entradas!$C$22)*(1+0.1*SQRT(AK10)*Entradas!$C$18/D10)</f>
        <v>382.744528466356</v>
      </c>
      <c r="AP10" s="31" t="n">
        <f aca="false">DEGREES(ATAN(TAN(RADIANS(G10))/Entradas!$D$29))</f>
        <v>24.8538058843088</v>
      </c>
      <c r="AQ10" s="32" t="n">
        <f aca="false">TAN(RADIANS(45+AP10/2))^2</f>
        <v>2.45008645537156</v>
      </c>
      <c r="AR10" s="31" t="n">
        <f aca="false">EXP(PI()*TAN(RADIANS(AP10)))*AQ10</f>
        <v>10.4994680366438</v>
      </c>
      <c r="AS10" s="31" t="n">
        <f aca="false">(AR10-1)/TAN(RADIANS(AP10))</f>
        <v>20.5081313419703</v>
      </c>
      <c r="AT10" s="31" t="n">
        <f aca="false">(AR10-1)*TAN(RADIANS(1.4*AP10))</f>
        <v>6.60115362599595</v>
      </c>
      <c r="AU10" s="19" t="n">
        <f aca="false">F10/Entradas!$D$29*AS10*(1+0.2*AQ10*Entradas!$C$22)*(1+0.2*SQRT(AQ10)*Entradas!$C$18/D10)+J10*AR10*(1+0.1*AQ10*Entradas!$C$22)*(1+0.1*SQRT(AQ10)*Entradas!$C$18/D10)+0.5*I10*D10*AT10*(1+0.1*AQ10*Entradas!$C$22)*(1+0.1*SQRT(AQ10)*Entradas!$C$18/D10)</f>
        <v>550.960566682473</v>
      </c>
    </row>
    <row r="11" customFormat="false" ht="15" hidden="false" customHeight="false" outlineLevel="0" collapsed="false">
      <c r="A11" s="13" t="s">
        <v>62</v>
      </c>
      <c r="B11" s="18" t="s">
        <v>47</v>
      </c>
      <c r="C11" s="18" t="s">
        <v>59</v>
      </c>
      <c r="D11" s="29" t="n">
        <v>1.5</v>
      </c>
      <c r="E11" s="30" t="s">
        <v>161</v>
      </c>
      <c r="F11" s="21" t="n">
        <f aca="false">Entradas!F5</f>
        <v>15</v>
      </c>
      <c r="G11" s="21" t="n">
        <f aca="false">Entradas!F6</f>
        <v>30</v>
      </c>
      <c r="H11" s="21" t="n">
        <f aca="false">Entradas!F7</f>
        <v>17</v>
      </c>
      <c r="I11" s="31" t="n">
        <f aca="false">IF(E11="NF en la base",H11-Entradas!$C$19,H11)</f>
        <v>7.19</v>
      </c>
      <c r="J11" s="15" t="n">
        <f aca="false">H11*Entradas!$C$18</f>
        <v>25.5</v>
      </c>
      <c r="K11" s="32" t="n">
        <f aca="false">TAN(RADIANS(45+G11/2))^2</f>
        <v>3</v>
      </c>
      <c r="L11" s="31" t="n">
        <f aca="false">EXP(PI()*TAN(RADIANS(G11)))*K11</f>
        <v>18.4011222187087</v>
      </c>
      <c r="M11" s="31" t="n">
        <f aca="false">(L11-1)/TAN(RADIANS(G11))</f>
        <v>30.1396277915191</v>
      </c>
      <c r="N11" s="31" t="n">
        <f aca="false">(L11-1)*TAN(RADIANS(1.4*G11))</f>
        <v>15.6680408210463</v>
      </c>
      <c r="O11" s="32" t="n">
        <f aca="false">1+0.2*K11*Entradas!$C$22</f>
        <v>1.6</v>
      </c>
      <c r="P11" s="32" t="n">
        <f aca="false">1+0.1*K11*Entradas!$C$22</f>
        <v>1.3</v>
      </c>
      <c r="Q11" s="32" t="n">
        <f aca="false">1+0.2*SQRT(K11)*Entradas!$C$18/D11</f>
        <v>1.34641016151378</v>
      </c>
      <c r="R11" s="32" t="n">
        <f aca="false">1+0.1*SQRT(K11)*Entradas!$C$18/D11</f>
        <v>1.17320508075689</v>
      </c>
      <c r="S11" s="19" t="n">
        <f aca="false">F11*M11*O11*Q11+J11*L11*P11*R11+0.5*I11*D11*N11*P11*R11</f>
        <v>1818.44023243658</v>
      </c>
      <c r="T11" s="19" t="n">
        <f aca="false">S11/Entradas!$C$27</f>
        <v>606.146744145526</v>
      </c>
      <c r="U11" s="19" t="n">
        <f aca="false">AI11</f>
        <v>569.353026973856</v>
      </c>
      <c r="V11" s="19" t="n">
        <f aca="false">MIN(T11,U11)</f>
        <v>569.353026973856</v>
      </c>
      <c r="W11" s="33" t="n">
        <f aca="false">Entradas!F8</f>
        <v>10533.6</v>
      </c>
      <c r="X11" s="19" t="n">
        <f aca="false">Entradas!$C$20*W11/(Entradas!$C$21*D11*(1-Entradas!F9^2))+J11</f>
        <v>224.504975124378</v>
      </c>
      <c r="Y11" s="16" t="n">
        <f aca="false">MIN(V11,X11)</f>
        <v>224.504975124378</v>
      </c>
      <c r="Z11" s="18" t="str">
        <f aca="false">IF(X11&lt;V11,"Asentamiento",IF(T11&lt;=U11,"Falla (FSICP)","Falla (FSB directo)"))</f>
        <v>Asentamiento</v>
      </c>
      <c r="AA11" s="19" t="n">
        <f aca="false">MIN(S11/Entradas!$C$28,AO11)</f>
        <v>727.376092974631</v>
      </c>
      <c r="AB11" s="19" t="n">
        <f aca="false">MIN(S11/Entradas!$C$29,AU11)</f>
        <v>1212.29348829105</v>
      </c>
      <c r="AD11" s="31" t="n">
        <f aca="false">DEGREES(ATAN(TAN(RADIANS(G11))/Entradas!$D$27))</f>
        <v>21.0517244353729</v>
      </c>
      <c r="AE11" s="32" t="n">
        <f aca="false">TAN(RADIANS(45+AD11/2))^2</f>
        <v>2.12115027597482</v>
      </c>
      <c r="AF11" s="31" t="n">
        <f aca="false">EXP(PI()*TAN(RADIANS(AD11)))*AE11</f>
        <v>7.10755356345264</v>
      </c>
      <c r="AG11" s="31" t="n">
        <f aca="false">(AF11-1)/TAN(RADIANS(AD11))</f>
        <v>15.8678896227725</v>
      </c>
      <c r="AH11" s="31" t="n">
        <f aca="false">(AF11-1)*TAN(RADIANS(1.4*AD11))</f>
        <v>3.45160677414997</v>
      </c>
      <c r="AI11" s="19" t="n">
        <f aca="false">F11/Entradas!$D$27*AG11*(1+0.2*AE11*Entradas!$C$22)*(1+0.2*SQRT(AE11)*Entradas!$C$18/D11)+J11*AF11*(1+0.1*AE11*Entradas!$C$22)*(1+0.1*SQRT(AE11)*Entradas!$C$18/D11)+0.5*I11*D11*AH11*(1+0.1*AE11*Entradas!$C$22)*(1+0.1*SQRT(AE11)*Entradas!$C$18/D11)</f>
        <v>569.353026973856</v>
      </c>
      <c r="AJ11" s="31" t="n">
        <f aca="false">DEGREES(ATAN(TAN(RADIANS(G11))/Entradas!$D$28))</f>
        <v>24.7912808971449</v>
      </c>
      <c r="AK11" s="32" t="n">
        <f aca="false">TAN(RADIANS(45+AJ11/2))^2</f>
        <v>2.44420181484474</v>
      </c>
      <c r="AL11" s="31" t="n">
        <f aca="false">EXP(PI()*TAN(RADIANS(AJ11)))*AK11</f>
        <v>10.4307492754213</v>
      </c>
      <c r="AM11" s="31" t="n">
        <f aca="false">(AL11-1)/TAN(RADIANS(AJ11))</f>
        <v>20.4181711230913</v>
      </c>
      <c r="AN11" s="31" t="n">
        <f aca="false">(AL11-1)*TAN(RADIANS(1.4*AJ11))</f>
        <v>6.53205835415607</v>
      </c>
      <c r="AO11" s="19" t="n">
        <f aca="false">F11/Entradas!$D$28*AM11*(1+0.2*AK11*Entradas!$C$22)*(1+0.2*SQRT(AK11)*Entradas!$C$18/D11)+J11*AL11*(1+0.1*AK11*Entradas!$C$22)*(1+0.1*SQRT(AK11)*Entradas!$C$18/D11)+0.5*I11*D11*AN11*(1+0.1*AK11*Entradas!$C$22)*(1+0.1*SQRT(AK11)*Entradas!$C$18/D11)</f>
        <v>912.286005158876</v>
      </c>
      <c r="AP11" s="31" t="n">
        <f aca="false">DEGREES(ATAN(TAN(RADIANS(G11))/Entradas!$D$29))</f>
        <v>27.6933585687982</v>
      </c>
      <c r="AQ11" s="32" t="n">
        <f aca="false">TAN(RADIANS(45+AP11/2))^2</f>
        <v>2.73649778464738</v>
      </c>
      <c r="AR11" s="31" t="n">
        <f aca="false">EXP(PI()*TAN(RADIANS(AP11)))*AQ11</f>
        <v>14.2333447686581</v>
      </c>
      <c r="AS11" s="31" t="n">
        <f aca="false">(AR11-1)/TAN(RADIANS(AP11))</f>
        <v>25.2129080427308</v>
      </c>
      <c r="AT11" s="31" t="n">
        <f aca="false">(AR11-1)*TAN(RADIANS(1.4*AP11))</f>
        <v>10.6287457066911</v>
      </c>
      <c r="AU11" s="19" t="n">
        <f aca="false">F11/Entradas!$D$29*AS11*(1+0.2*AQ11*Entradas!$C$22)*(1+0.2*SQRT(AQ11)*Entradas!$C$18/D11)+J11*AR11*(1+0.1*AQ11*Entradas!$C$22)*(1+0.1*SQRT(AQ11)*Entradas!$C$18/D11)+0.5*I11*D11*AT11*(1+0.1*AQ11*Entradas!$C$22)*(1+0.1*SQRT(AQ11)*Entradas!$C$18/D11)</f>
        <v>1331.80311420443</v>
      </c>
    </row>
    <row r="12" customFormat="false" ht="15" hidden="false" customHeight="false" outlineLevel="0" collapsed="false">
      <c r="A12" s="13" t="s">
        <v>62</v>
      </c>
      <c r="B12" s="18" t="s">
        <v>47</v>
      </c>
      <c r="C12" s="18" t="s">
        <v>59</v>
      </c>
      <c r="D12" s="29" t="n">
        <v>1.5</v>
      </c>
      <c r="E12" s="30" t="s">
        <v>162</v>
      </c>
      <c r="F12" s="21" t="n">
        <f aca="false">Entradas!F5</f>
        <v>15</v>
      </c>
      <c r="G12" s="21" t="n">
        <f aca="false">Entradas!F6</f>
        <v>30</v>
      </c>
      <c r="H12" s="21" t="n">
        <f aca="false">Entradas!F7</f>
        <v>17</v>
      </c>
      <c r="I12" s="31" t="n">
        <f aca="false">IF(E12="NF en la base",H12-Entradas!$C$19,H12)</f>
        <v>17</v>
      </c>
      <c r="J12" s="15" t="n">
        <f aca="false">H12*Entradas!$C$18</f>
        <v>25.5</v>
      </c>
      <c r="K12" s="32" t="n">
        <f aca="false">TAN(RADIANS(45+G12/2))^2</f>
        <v>3</v>
      </c>
      <c r="L12" s="31" t="n">
        <f aca="false">EXP(PI()*TAN(RADIANS(G12)))*K12</f>
        <v>18.4011222187087</v>
      </c>
      <c r="M12" s="31" t="n">
        <f aca="false">(L12-1)/TAN(RADIANS(G12))</f>
        <v>30.1396277915191</v>
      </c>
      <c r="N12" s="31" t="n">
        <f aca="false">(L12-1)*TAN(RADIANS(1.4*G12))</f>
        <v>15.6680408210463</v>
      </c>
      <c r="O12" s="32" t="n">
        <f aca="false">1+0.2*K12*Entradas!$C$22</f>
        <v>1.6</v>
      </c>
      <c r="P12" s="32" t="n">
        <f aca="false">1+0.1*K12*Entradas!$C$22</f>
        <v>1.3</v>
      </c>
      <c r="Q12" s="32" t="n">
        <f aca="false">1+0.2*SQRT(K12)*Entradas!$C$18/D12</f>
        <v>1.34641016151378</v>
      </c>
      <c r="R12" s="32" t="n">
        <f aca="false">1+0.1*SQRT(K12)*Entradas!$C$18/D12</f>
        <v>1.17320508075689</v>
      </c>
      <c r="S12" s="19" t="n">
        <f aca="false">F12*M12*O12*Q12+J12*L12*P12*R12+0.5*I12*D12*N12*P12*R12</f>
        <v>1994.25779403079</v>
      </c>
      <c r="T12" s="19" t="n">
        <f aca="false">S12/Entradas!$C$27</f>
        <v>664.752598010264</v>
      </c>
      <c r="U12" s="19" t="n">
        <f aca="false">AI12</f>
        <v>604.618054684403</v>
      </c>
      <c r="V12" s="19" t="n">
        <f aca="false">MIN(T12,U12)</f>
        <v>604.618054684403</v>
      </c>
      <c r="W12" s="33" t="n">
        <f aca="false">Entradas!F8</f>
        <v>10533.6</v>
      </c>
      <c r="X12" s="19" t="n">
        <f aca="false">Entradas!$C$20*W12/(Entradas!$C$21*D12*(1-Entradas!F9^2))+J12</f>
        <v>224.504975124378</v>
      </c>
      <c r="Y12" s="16" t="n">
        <f aca="false">MIN(V12,X12)</f>
        <v>224.504975124378</v>
      </c>
      <c r="Z12" s="18" t="str">
        <f aca="false">IF(X12&lt;V12,"Asentamiento",IF(T12&lt;=U12,"Falla (FSICP)","Falla (FSB directo)"))</f>
        <v>Asentamiento</v>
      </c>
      <c r="AA12" s="19" t="n">
        <f aca="false">MIN(S12/Entradas!$C$28,AO12)</f>
        <v>797.703117612317</v>
      </c>
      <c r="AB12" s="19" t="n">
        <f aca="false">MIN(S12/Entradas!$C$29,AU12)</f>
        <v>1329.50519602053</v>
      </c>
      <c r="AD12" s="31" t="n">
        <f aca="false">DEGREES(ATAN(TAN(RADIANS(G12))/Entradas!$D$27))</f>
        <v>21.0517244353729</v>
      </c>
      <c r="AE12" s="32" t="n">
        <f aca="false">TAN(RADIANS(45+AD12/2))^2</f>
        <v>2.12115027597482</v>
      </c>
      <c r="AF12" s="31" t="n">
        <f aca="false">EXP(PI()*TAN(RADIANS(AD12)))*AE12</f>
        <v>7.10755356345264</v>
      </c>
      <c r="AG12" s="31" t="n">
        <f aca="false">(AF12-1)/TAN(RADIANS(AD12))</f>
        <v>15.8678896227725</v>
      </c>
      <c r="AH12" s="31" t="n">
        <f aca="false">(AF12-1)*TAN(RADIANS(1.4*AD12))</f>
        <v>3.45160677414997</v>
      </c>
      <c r="AI12" s="19" t="n">
        <f aca="false">F12/Entradas!$D$27*AG12*(1+0.2*AE12*Entradas!$C$22)*(1+0.2*SQRT(AE12)*Entradas!$C$18/D12)+J12*AF12*(1+0.1*AE12*Entradas!$C$22)*(1+0.1*SQRT(AE12)*Entradas!$C$18/D12)+0.5*I12*D12*AH12*(1+0.1*AE12*Entradas!$C$22)*(1+0.1*SQRT(AE12)*Entradas!$C$18/D12)</f>
        <v>604.618054684403</v>
      </c>
      <c r="AJ12" s="31" t="n">
        <f aca="false">DEGREES(ATAN(TAN(RADIANS(G12))/Entradas!$D$28))</f>
        <v>24.7912808971449</v>
      </c>
      <c r="AK12" s="32" t="n">
        <f aca="false">TAN(RADIANS(45+AJ12/2))^2</f>
        <v>2.44420181484474</v>
      </c>
      <c r="AL12" s="31" t="n">
        <f aca="false">EXP(PI()*TAN(RADIANS(AJ12)))*AK12</f>
        <v>10.4307492754213</v>
      </c>
      <c r="AM12" s="31" t="n">
        <f aca="false">(AL12-1)/TAN(RADIANS(AJ12))</f>
        <v>20.4181711230913</v>
      </c>
      <c r="AN12" s="31" t="n">
        <f aca="false">(AL12-1)*TAN(RADIANS(1.4*AJ12))</f>
        <v>6.53205835415607</v>
      </c>
      <c r="AO12" s="19" t="n">
        <f aca="false">F12/Entradas!$D$28*AM12*(1+0.2*AK12*Entradas!$C$22)*(1+0.2*SQRT(AK12)*Entradas!$C$18/D12)+J12*AL12*(1+0.1*AK12*Entradas!$C$22)*(1+0.1*SQRT(AK12)*Entradas!$C$18/D12)+0.5*I12*D12*AN12*(1+0.1*AK12*Entradas!$C$22)*(1+0.1*SQRT(AK12)*Entradas!$C$18/D12)</f>
        <v>981.442457796769</v>
      </c>
      <c r="AP12" s="31" t="n">
        <f aca="false">DEGREES(ATAN(TAN(RADIANS(G12))/Entradas!$D$29))</f>
        <v>27.6933585687982</v>
      </c>
      <c r="AQ12" s="32" t="n">
        <f aca="false">TAN(RADIANS(45+AP12/2))^2</f>
        <v>2.73649778464738</v>
      </c>
      <c r="AR12" s="31" t="n">
        <f aca="false">EXP(PI()*TAN(RADIANS(AP12)))*AQ12</f>
        <v>14.2333447686581</v>
      </c>
      <c r="AS12" s="31" t="n">
        <f aca="false">(AR12-1)/TAN(RADIANS(AP12))</f>
        <v>25.2129080427308</v>
      </c>
      <c r="AT12" s="31" t="n">
        <f aca="false">(AR12-1)*TAN(RADIANS(1.4*AP12))</f>
        <v>10.6287457066911</v>
      </c>
      <c r="AU12" s="19" t="n">
        <f aca="false">F12/Entradas!$D$29*AS12*(1+0.2*AQ12*Entradas!$C$22)*(1+0.2*SQRT(AQ12)*Entradas!$C$18/D12)+J12*AR12*(1+0.1*AQ12*Entradas!$C$22)*(1+0.1*SQRT(AQ12)*Entradas!$C$18/D12)+0.5*I12*D12*AT12*(1+0.1*AQ12*Entradas!$C$22)*(1+0.1*SQRT(AQ12)*Entradas!$C$18/D12)</f>
        <v>1447.88010261807</v>
      </c>
    </row>
    <row r="13" customFormat="false" ht="15" hidden="false" customHeight="false" outlineLevel="0" collapsed="false">
      <c r="A13" s="13" t="s">
        <v>62</v>
      </c>
      <c r="B13" s="18" t="s">
        <v>47</v>
      </c>
      <c r="C13" s="18" t="s">
        <v>59</v>
      </c>
      <c r="D13" s="29" t="n">
        <v>2</v>
      </c>
      <c r="E13" s="30" t="s">
        <v>161</v>
      </c>
      <c r="F13" s="21" t="n">
        <f aca="false">Entradas!F5</f>
        <v>15</v>
      </c>
      <c r="G13" s="21" t="n">
        <f aca="false">Entradas!F6</f>
        <v>30</v>
      </c>
      <c r="H13" s="21" t="n">
        <f aca="false">Entradas!F7</f>
        <v>17</v>
      </c>
      <c r="I13" s="31" t="n">
        <f aca="false">IF(E13="NF en la base",H13-Entradas!$C$19,H13)</f>
        <v>7.19</v>
      </c>
      <c r="J13" s="15" t="n">
        <f aca="false">H13*Entradas!$C$18</f>
        <v>25.5</v>
      </c>
      <c r="K13" s="32" t="n">
        <f aca="false">TAN(RADIANS(45+G13/2))^2</f>
        <v>3</v>
      </c>
      <c r="L13" s="31" t="n">
        <f aca="false">EXP(PI()*TAN(RADIANS(G13)))*K13</f>
        <v>18.4011222187087</v>
      </c>
      <c r="M13" s="31" t="n">
        <f aca="false">(L13-1)/TAN(RADIANS(G13))</f>
        <v>30.1396277915191</v>
      </c>
      <c r="N13" s="31" t="n">
        <f aca="false">(L13-1)*TAN(RADIANS(1.4*G13))</f>
        <v>15.6680408210463</v>
      </c>
      <c r="O13" s="32" t="n">
        <f aca="false">1+0.2*K13*Entradas!$C$22</f>
        <v>1.6</v>
      </c>
      <c r="P13" s="32" t="n">
        <f aca="false">1+0.1*K13*Entradas!$C$22</f>
        <v>1.3</v>
      </c>
      <c r="Q13" s="32" t="n">
        <f aca="false">1+0.2*SQRT(K13)*Entradas!$C$18/D13</f>
        <v>1.25980762113533</v>
      </c>
      <c r="R13" s="32" t="n">
        <f aca="false">1+0.1*SQRT(K13)*Entradas!$C$18/D13</f>
        <v>1.12990381056767</v>
      </c>
      <c r="S13" s="19" t="n">
        <f aca="false">F13*M13*O13*Q13+J13*L13*P13*R13+0.5*I13*D13*N13*P13*R13</f>
        <v>1765.99483319881</v>
      </c>
      <c r="T13" s="19" t="n">
        <f aca="false">S13/Entradas!$C$27</f>
        <v>588.664944399604</v>
      </c>
      <c r="U13" s="19" t="n">
        <f aca="false">AI13</f>
        <v>552.417249004913</v>
      </c>
      <c r="V13" s="19" t="n">
        <f aca="false">MIN(T13,U13)</f>
        <v>552.417249004913</v>
      </c>
      <c r="W13" s="33" t="n">
        <f aca="false">Entradas!F8</f>
        <v>10533.6</v>
      </c>
      <c r="X13" s="19" t="n">
        <f aca="false">Entradas!$C$20*W13/(Entradas!$C$21*D13*(1-Entradas!F9^2))+J13</f>
        <v>174.753731343284</v>
      </c>
      <c r="Y13" s="16" t="n">
        <f aca="false">MIN(V13,X13)</f>
        <v>174.753731343284</v>
      </c>
      <c r="Z13" s="18" t="str">
        <f aca="false">IF(X13&lt;V13,"Asentamiento",IF(T13&lt;=U13,"Falla (FSICP)","Falla (FSB directo)"))</f>
        <v>Asentamiento</v>
      </c>
      <c r="AA13" s="19" t="n">
        <f aca="false">MIN(S13/Entradas!$C$28,AO13)</f>
        <v>706.397933279525</v>
      </c>
      <c r="AB13" s="19" t="n">
        <f aca="false">MIN(S13/Entradas!$C$29,AU13)</f>
        <v>1177.32988879921</v>
      </c>
      <c r="AD13" s="31" t="n">
        <f aca="false">DEGREES(ATAN(TAN(RADIANS(G13))/Entradas!$D$27))</f>
        <v>21.0517244353729</v>
      </c>
      <c r="AE13" s="32" t="n">
        <f aca="false">TAN(RADIANS(45+AD13/2))^2</f>
        <v>2.12115027597482</v>
      </c>
      <c r="AF13" s="31" t="n">
        <f aca="false">EXP(PI()*TAN(RADIANS(AD13)))*AE13</f>
        <v>7.10755356345264</v>
      </c>
      <c r="AG13" s="31" t="n">
        <f aca="false">(AF13-1)/TAN(RADIANS(AD13))</f>
        <v>15.8678896227725</v>
      </c>
      <c r="AH13" s="31" t="n">
        <f aca="false">(AF13-1)*TAN(RADIANS(1.4*AD13))</f>
        <v>3.45160677414997</v>
      </c>
      <c r="AI13" s="19" t="n">
        <f aca="false">F13/Entradas!$D$27*AG13*(1+0.2*AE13*Entradas!$C$22)*(1+0.2*SQRT(AE13)*Entradas!$C$18/D13)+J13*AF13*(1+0.1*AE13*Entradas!$C$22)*(1+0.1*SQRT(AE13)*Entradas!$C$18/D13)+0.5*I13*D13*AH13*(1+0.1*AE13*Entradas!$C$22)*(1+0.1*SQRT(AE13)*Entradas!$C$18/D13)</f>
        <v>552.417249004913</v>
      </c>
      <c r="AJ13" s="31" t="n">
        <f aca="false">DEGREES(ATAN(TAN(RADIANS(G13))/Entradas!$D$28))</f>
        <v>24.7912808971449</v>
      </c>
      <c r="AK13" s="32" t="n">
        <f aca="false">TAN(RADIANS(45+AJ13/2))^2</f>
        <v>2.44420181484474</v>
      </c>
      <c r="AL13" s="31" t="n">
        <f aca="false">EXP(PI()*TAN(RADIANS(AJ13)))*AK13</f>
        <v>10.4307492754213</v>
      </c>
      <c r="AM13" s="31" t="n">
        <f aca="false">(AL13-1)/TAN(RADIANS(AJ13))</f>
        <v>20.4181711230913</v>
      </c>
      <c r="AN13" s="31" t="n">
        <f aca="false">(AL13-1)*TAN(RADIANS(1.4*AJ13))</f>
        <v>6.53205835415607</v>
      </c>
      <c r="AO13" s="19" t="n">
        <f aca="false">F13/Entradas!$D$28*AM13*(1+0.2*AK13*Entradas!$C$22)*(1+0.2*SQRT(AK13)*Entradas!$C$18/D13)+J13*AL13*(1+0.1*AK13*Entradas!$C$22)*(1+0.1*SQRT(AK13)*Entradas!$C$18/D13)+0.5*I13*D13*AN13*(1+0.1*AK13*Entradas!$C$22)*(1+0.1*SQRT(AK13)*Entradas!$C$18/D13)</f>
        <v>885.444530584928</v>
      </c>
      <c r="AP13" s="31" t="n">
        <f aca="false">DEGREES(ATAN(TAN(RADIANS(G13))/Entradas!$D$29))</f>
        <v>27.6933585687982</v>
      </c>
      <c r="AQ13" s="32" t="n">
        <f aca="false">TAN(RADIANS(45+AP13/2))^2</f>
        <v>2.73649778464738</v>
      </c>
      <c r="AR13" s="31" t="n">
        <f aca="false">EXP(PI()*TAN(RADIANS(AP13)))*AQ13</f>
        <v>14.2333447686581</v>
      </c>
      <c r="AS13" s="31" t="n">
        <f aca="false">(AR13-1)/TAN(RADIANS(AP13))</f>
        <v>25.2129080427308</v>
      </c>
      <c r="AT13" s="31" t="n">
        <f aca="false">(AR13-1)*TAN(RADIANS(1.4*AP13))</f>
        <v>10.6287457066911</v>
      </c>
      <c r="AU13" s="19" t="n">
        <f aca="false">F13/Entradas!$D$29*AS13*(1+0.2*AQ13*Entradas!$C$22)*(1+0.2*SQRT(AQ13)*Entradas!$C$18/D13)+J13*AR13*(1+0.1*AQ13*Entradas!$C$22)*(1+0.1*SQRT(AQ13)*Entradas!$C$18/D13)+0.5*I13*D13*AT13*(1+0.1*AQ13*Entradas!$C$22)*(1+0.1*SQRT(AQ13)*Entradas!$C$18/D13)</f>
        <v>1293.01765676492</v>
      </c>
    </row>
    <row r="14" customFormat="false" ht="15" hidden="false" customHeight="false" outlineLevel="0" collapsed="false">
      <c r="A14" s="13" t="s">
        <v>62</v>
      </c>
      <c r="B14" s="18" t="s">
        <v>47</v>
      </c>
      <c r="C14" s="18" t="s">
        <v>59</v>
      </c>
      <c r="D14" s="29" t="n">
        <v>2</v>
      </c>
      <c r="E14" s="30" t="s">
        <v>162</v>
      </c>
      <c r="F14" s="21" t="n">
        <f aca="false">Entradas!F5</f>
        <v>15</v>
      </c>
      <c r="G14" s="21" t="n">
        <f aca="false">Entradas!F6</f>
        <v>30</v>
      </c>
      <c r="H14" s="21" t="n">
        <f aca="false">Entradas!F7</f>
        <v>17</v>
      </c>
      <c r="I14" s="31" t="n">
        <f aca="false">IF(E14="NF en la base",H14-Entradas!$C$19,H14)</f>
        <v>17</v>
      </c>
      <c r="J14" s="15" t="n">
        <f aca="false">H14*Entradas!$C$18</f>
        <v>25.5</v>
      </c>
      <c r="K14" s="32" t="n">
        <f aca="false">TAN(RADIANS(45+G14/2))^2</f>
        <v>3</v>
      </c>
      <c r="L14" s="31" t="n">
        <f aca="false">EXP(PI()*TAN(RADIANS(G14)))*K14</f>
        <v>18.4011222187087</v>
      </c>
      <c r="M14" s="31" t="n">
        <f aca="false">(L14-1)/TAN(RADIANS(G14))</f>
        <v>30.1396277915191</v>
      </c>
      <c r="N14" s="31" t="n">
        <f aca="false">(L14-1)*TAN(RADIANS(1.4*G14))</f>
        <v>15.6680408210463</v>
      </c>
      <c r="O14" s="32" t="n">
        <f aca="false">1+0.2*K14*Entradas!$C$22</f>
        <v>1.6</v>
      </c>
      <c r="P14" s="32" t="n">
        <f aca="false">1+0.1*K14*Entradas!$C$22</f>
        <v>1.3</v>
      </c>
      <c r="Q14" s="32" t="n">
        <f aca="false">1+0.2*SQRT(K14)*Entradas!$C$18/D14</f>
        <v>1.25980762113533</v>
      </c>
      <c r="R14" s="32" t="n">
        <f aca="false">1+0.1*SQRT(K14)*Entradas!$C$18/D14</f>
        <v>1.12990381056767</v>
      </c>
      <c r="S14" s="19" t="n">
        <f aca="false">F14*M14*O14*Q14+J14*L14*P14*R14+0.5*I14*D14*N14*P14*R14</f>
        <v>1991.76602594073</v>
      </c>
      <c r="T14" s="19" t="n">
        <f aca="false">S14/Entradas!$C$27</f>
        <v>663.922008646909</v>
      </c>
      <c r="U14" s="19" t="n">
        <f aca="false">AI14</f>
        <v>597.942909955307</v>
      </c>
      <c r="V14" s="19" t="n">
        <f aca="false">MIN(T14,U14)</f>
        <v>597.942909955307</v>
      </c>
      <c r="W14" s="33" t="n">
        <f aca="false">Entradas!F8</f>
        <v>10533.6</v>
      </c>
      <c r="X14" s="19" t="n">
        <f aca="false">Entradas!$C$20*W14/(Entradas!$C$21*D14*(1-Entradas!F9^2))+J14</f>
        <v>174.753731343284</v>
      </c>
      <c r="Y14" s="16" t="n">
        <f aca="false">MIN(V14,X14)</f>
        <v>174.753731343284</v>
      </c>
      <c r="Z14" s="18" t="str">
        <f aca="false">IF(X14&lt;V14,"Asentamiento",IF(T14&lt;=U14,"Falla (FSICP)","Falla (FSB directo)"))</f>
        <v>Asentamiento</v>
      </c>
      <c r="AA14" s="19" t="n">
        <f aca="false">MIN(S14/Entradas!$C$28,AO14)</f>
        <v>796.706410376291</v>
      </c>
      <c r="AB14" s="19" t="n">
        <f aca="false">MIN(S14/Entradas!$C$29,AU14)</f>
        <v>1327.84401729382</v>
      </c>
      <c r="AD14" s="31" t="n">
        <f aca="false">DEGREES(ATAN(TAN(RADIANS(G14))/Entradas!$D$27))</f>
        <v>21.0517244353729</v>
      </c>
      <c r="AE14" s="32" t="n">
        <f aca="false">TAN(RADIANS(45+AD14/2))^2</f>
        <v>2.12115027597482</v>
      </c>
      <c r="AF14" s="31" t="n">
        <f aca="false">EXP(PI()*TAN(RADIANS(AD14)))*AE14</f>
        <v>7.10755356345264</v>
      </c>
      <c r="AG14" s="31" t="n">
        <f aca="false">(AF14-1)/TAN(RADIANS(AD14))</f>
        <v>15.8678896227725</v>
      </c>
      <c r="AH14" s="31" t="n">
        <f aca="false">(AF14-1)*TAN(RADIANS(1.4*AD14))</f>
        <v>3.45160677414997</v>
      </c>
      <c r="AI14" s="19" t="n">
        <f aca="false">F14/Entradas!$D$27*AG14*(1+0.2*AE14*Entradas!$C$22)*(1+0.2*SQRT(AE14)*Entradas!$C$18/D14)+J14*AF14*(1+0.1*AE14*Entradas!$C$22)*(1+0.1*SQRT(AE14)*Entradas!$C$18/D14)+0.5*I14*D14*AH14*(1+0.1*AE14*Entradas!$C$22)*(1+0.1*SQRT(AE14)*Entradas!$C$18/D14)</f>
        <v>597.942909955307</v>
      </c>
      <c r="AJ14" s="31" t="n">
        <f aca="false">DEGREES(ATAN(TAN(RADIANS(G14))/Entradas!$D$28))</f>
        <v>24.7912808971449</v>
      </c>
      <c r="AK14" s="32" t="n">
        <f aca="false">TAN(RADIANS(45+AJ14/2))^2</f>
        <v>2.44420181484474</v>
      </c>
      <c r="AL14" s="31" t="n">
        <f aca="false">EXP(PI()*TAN(RADIANS(AJ14)))*AK14</f>
        <v>10.4307492754213</v>
      </c>
      <c r="AM14" s="31" t="n">
        <f aca="false">(AL14-1)/TAN(RADIANS(AJ14))</f>
        <v>20.4181711230913</v>
      </c>
      <c r="AN14" s="31" t="n">
        <f aca="false">(AL14-1)*TAN(RADIANS(1.4*AJ14))</f>
        <v>6.53205835415607</v>
      </c>
      <c r="AO14" s="19" t="n">
        <f aca="false">F14/Entradas!$D$28*AM14*(1+0.2*AK14*Entradas!$C$22)*(1+0.2*SQRT(AK14)*Entradas!$C$18/D14)+J14*AL14*(1+0.1*AK14*Entradas!$C$22)*(1+0.1*SQRT(AK14)*Entradas!$C$18/D14)+0.5*I14*D14*AN14*(1+0.1*AK14*Entradas!$C$22)*(1+0.1*SQRT(AK14)*Entradas!$C$18/D14)</f>
        <v>974.536436630165</v>
      </c>
      <c r="AP14" s="31" t="n">
        <f aca="false">DEGREES(ATAN(TAN(RADIANS(G14))/Entradas!$D$29))</f>
        <v>27.6933585687982</v>
      </c>
      <c r="AQ14" s="32" t="n">
        <f aca="false">TAN(RADIANS(45+AP14/2))^2</f>
        <v>2.73649778464738</v>
      </c>
      <c r="AR14" s="31" t="n">
        <f aca="false">EXP(PI()*TAN(RADIANS(AP14)))*AQ14</f>
        <v>14.2333447686581</v>
      </c>
      <c r="AS14" s="31" t="n">
        <f aca="false">(AR14-1)/TAN(RADIANS(AP14))</f>
        <v>25.2129080427308</v>
      </c>
      <c r="AT14" s="31" t="n">
        <f aca="false">(AR14-1)*TAN(RADIANS(1.4*AP14))</f>
        <v>10.6287457066911</v>
      </c>
      <c r="AU14" s="19" t="n">
        <f aca="false">F14/Entradas!$D$29*AS14*(1+0.2*AQ14*Entradas!$C$22)*(1+0.2*SQRT(AQ14)*Entradas!$C$18/D14)+J14*AR14*(1+0.1*AQ14*Entradas!$C$22)*(1+0.1*SQRT(AQ14)*Entradas!$C$18/D14)+0.5*I14*D14*AT14*(1+0.1*AQ14*Entradas!$C$22)*(1+0.1*SQRT(AQ14)*Entradas!$C$18/D14)</f>
        <v>1442.29487248358</v>
      </c>
    </row>
    <row r="15" customFormat="false" ht="15" hidden="false" customHeight="false" outlineLevel="0" collapsed="false">
      <c r="A15" s="13" t="s">
        <v>62</v>
      </c>
      <c r="B15" s="18" t="s">
        <v>47</v>
      </c>
      <c r="C15" s="18" t="s">
        <v>59</v>
      </c>
      <c r="D15" s="29" t="n">
        <v>3</v>
      </c>
      <c r="E15" s="30" t="s">
        <v>161</v>
      </c>
      <c r="F15" s="21" t="n">
        <f aca="false">Entradas!F5</f>
        <v>15</v>
      </c>
      <c r="G15" s="21" t="n">
        <f aca="false">Entradas!F6</f>
        <v>30</v>
      </c>
      <c r="H15" s="21" t="n">
        <f aca="false">Entradas!F7</f>
        <v>17</v>
      </c>
      <c r="I15" s="31" t="n">
        <f aca="false">IF(E15="NF en la base",H15-Entradas!$C$19,H15)</f>
        <v>7.19</v>
      </c>
      <c r="J15" s="15" t="n">
        <f aca="false">H15*Entradas!$C$18</f>
        <v>25.5</v>
      </c>
      <c r="K15" s="32" t="n">
        <f aca="false">TAN(RADIANS(45+G15/2))^2</f>
        <v>3</v>
      </c>
      <c r="L15" s="31" t="n">
        <f aca="false">EXP(PI()*TAN(RADIANS(G15)))*K15</f>
        <v>18.4011222187087</v>
      </c>
      <c r="M15" s="31" t="n">
        <f aca="false">(L15-1)/TAN(RADIANS(G15))</f>
        <v>30.1396277915191</v>
      </c>
      <c r="N15" s="31" t="n">
        <f aca="false">(L15-1)*TAN(RADIANS(1.4*G15))</f>
        <v>15.6680408210463</v>
      </c>
      <c r="O15" s="32" t="n">
        <f aca="false">1+0.2*K15*Entradas!$C$22</f>
        <v>1.6</v>
      </c>
      <c r="P15" s="32" t="n">
        <f aca="false">1+0.1*K15*Entradas!$C$22</f>
        <v>1.3</v>
      </c>
      <c r="Q15" s="32" t="n">
        <f aca="false">1+0.2*SQRT(K15)*Entradas!$C$18/D15</f>
        <v>1.17320508075689</v>
      </c>
      <c r="R15" s="32" t="n">
        <f aca="false">1+0.1*SQRT(K15)*Entradas!$C$18/D15</f>
        <v>1.08660254037844</v>
      </c>
      <c r="S15" s="19" t="n">
        <f aca="false">F15*M15*O15*Q15+J15*L15*P15*R15+0.5*I15*D15*N15*P15*R15</f>
        <v>1750.16172834963</v>
      </c>
      <c r="T15" s="19" t="n">
        <f aca="false">S15/Entradas!$C$27</f>
        <v>583.387242783209</v>
      </c>
      <c r="U15" s="19" t="n">
        <f aca="false">AI15</f>
        <v>543.001751667418</v>
      </c>
      <c r="V15" s="19" t="n">
        <f aca="false">MIN(T15,U15)</f>
        <v>543.001751667418</v>
      </c>
      <c r="W15" s="33" t="n">
        <f aca="false">Entradas!F8</f>
        <v>10533.6</v>
      </c>
      <c r="X15" s="19" t="n">
        <f aca="false">Entradas!$C$20*W15/(Entradas!$C$21*D15*(1-Entradas!F9^2))+J15</f>
        <v>125.002487562189</v>
      </c>
      <c r="Y15" s="16" t="n">
        <f aca="false">MIN(V15,X15)</f>
        <v>125.002487562189</v>
      </c>
      <c r="Z15" s="18" t="str">
        <f aca="false">IF(X15&lt;V15,"Asentamiento",IF(T15&lt;=U15,"Falla (FSICP)","Falla (FSB directo)"))</f>
        <v>Asentamiento</v>
      </c>
      <c r="AA15" s="19" t="n">
        <f aca="false">MIN(S15/Entradas!$C$28,AO15)</f>
        <v>700.064691339851</v>
      </c>
      <c r="AB15" s="19" t="n">
        <f aca="false">MIN(S15/Entradas!$C$29,AU15)</f>
        <v>1166.77448556642</v>
      </c>
      <c r="AD15" s="31" t="n">
        <f aca="false">DEGREES(ATAN(TAN(RADIANS(G15))/Entradas!$D$27))</f>
        <v>21.0517244353729</v>
      </c>
      <c r="AE15" s="32" t="n">
        <f aca="false">TAN(RADIANS(45+AD15/2))^2</f>
        <v>2.12115027597482</v>
      </c>
      <c r="AF15" s="31" t="n">
        <f aca="false">EXP(PI()*TAN(RADIANS(AD15)))*AE15</f>
        <v>7.10755356345264</v>
      </c>
      <c r="AG15" s="31" t="n">
        <f aca="false">(AF15-1)/TAN(RADIANS(AD15))</f>
        <v>15.8678896227725</v>
      </c>
      <c r="AH15" s="31" t="n">
        <f aca="false">(AF15-1)*TAN(RADIANS(1.4*AD15))</f>
        <v>3.45160677414997</v>
      </c>
      <c r="AI15" s="19" t="n">
        <f aca="false">F15/Entradas!$D$27*AG15*(1+0.2*AE15*Entradas!$C$22)*(1+0.2*SQRT(AE15)*Entradas!$C$18/D15)+J15*AF15*(1+0.1*AE15*Entradas!$C$22)*(1+0.1*SQRT(AE15)*Entradas!$C$18/D15)+0.5*I15*D15*AH15*(1+0.1*AE15*Entradas!$C$22)*(1+0.1*SQRT(AE15)*Entradas!$C$18/D15)</f>
        <v>543.001751667418</v>
      </c>
      <c r="AJ15" s="31" t="n">
        <f aca="false">DEGREES(ATAN(TAN(RADIANS(G15))/Entradas!$D$28))</f>
        <v>24.7912808971449</v>
      </c>
      <c r="AK15" s="32" t="n">
        <f aca="false">TAN(RADIANS(45+AJ15/2))^2</f>
        <v>2.44420181484474</v>
      </c>
      <c r="AL15" s="31" t="n">
        <f aca="false">EXP(PI()*TAN(RADIANS(AJ15)))*AK15</f>
        <v>10.4307492754213</v>
      </c>
      <c r="AM15" s="31" t="n">
        <f aca="false">(AL15-1)/TAN(RADIANS(AJ15))</f>
        <v>20.4181711230913</v>
      </c>
      <c r="AN15" s="31" t="n">
        <f aca="false">(AL15-1)*TAN(RADIANS(1.4*AJ15))</f>
        <v>6.53205835415607</v>
      </c>
      <c r="AO15" s="19" t="n">
        <f aca="false">F15/Entradas!$D$28*AM15*(1+0.2*AK15*Entradas!$C$22)*(1+0.2*SQRT(AK15)*Entradas!$C$18/D15)+J15*AL15*(1+0.1*AK15*Entradas!$C$22)*(1+0.1*SQRT(AK15)*Entradas!$C$18/D15)+0.5*I15*D15*AN15*(1+0.1*AK15*Entradas!$C$22)*(1+0.1*SQRT(AK15)*Entradas!$C$18/D15)</f>
        <v>873.214259884457</v>
      </c>
      <c r="AP15" s="31" t="n">
        <f aca="false">DEGREES(ATAN(TAN(RADIANS(G15))/Entradas!$D$29))</f>
        <v>27.6933585687982</v>
      </c>
      <c r="AQ15" s="32" t="n">
        <f aca="false">TAN(RADIANS(45+AP15/2))^2</f>
        <v>2.73649778464738</v>
      </c>
      <c r="AR15" s="31" t="n">
        <f aca="false">EXP(PI()*TAN(RADIANS(AP15)))*AQ15</f>
        <v>14.2333447686581</v>
      </c>
      <c r="AS15" s="31" t="n">
        <f aca="false">(AR15-1)/TAN(RADIANS(AP15))</f>
        <v>25.2129080427308</v>
      </c>
      <c r="AT15" s="31" t="n">
        <f aca="false">(AR15-1)*TAN(RADIANS(1.4*AP15))</f>
        <v>10.6287457066911</v>
      </c>
      <c r="AU15" s="19" t="n">
        <f aca="false">F15/Entradas!$D$29*AS15*(1+0.2*AQ15*Entradas!$C$22)*(1+0.2*SQRT(AQ15)*Entradas!$C$18/D15)+J15*AR15*(1+0.1*AQ15*Entradas!$C$22)*(1+0.1*SQRT(AQ15)*Entradas!$C$18/D15)+0.5*I15*D15*AT15*(1+0.1*AQ15*Entradas!$C$22)*(1+0.1*SQRT(AQ15)*Entradas!$C$18/D15)</f>
        <v>1278.56549538282</v>
      </c>
    </row>
    <row r="16" customFormat="false" ht="15" hidden="false" customHeight="false" outlineLevel="0" collapsed="false">
      <c r="A16" s="13" t="s">
        <v>62</v>
      </c>
      <c r="B16" s="18" t="s">
        <v>47</v>
      </c>
      <c r="C16" s="18" t="s">
        <v>59</v>
      </c>
      <c r="D16" s="29" t="n">
        <v>3</v>
      </c>
      <c r="E16" s="30" t="s">
        <v>162</v>
      </c>
      <c r="F16" s="21" t="n">
        <f aca="false">Entradas!F5</f>
        <v>15</v>
      </c>
      <c r="G16" s="21" t="n">
        <f aca="false">Entradas!F6</f>
        <v>30</v>
      </c>
      <c r="H16" s="21" t="n">
        <f aca="false">Entradas!F7</f>
        <v>17</v>
      </c>
      <c r="I16" s="31" t="n">
        <f aca="false">IF(E16="NF en la base",H16-Entradas!$C$19,H16)</f>
        <v>17</v>
      </c>
      <c r="J16" s="15" t="n">
        <f aca="false">H16*Entradas!$C$18</f>
        <v>25.5</v>
      </c>
      <c r="K16" s="32" t="n">
        <f aca="false">TAN(RADIANS(45+G16/2))^2</f>
        <v>3</v>
      </c>
      <c r="L16" s="31" t="n">
        <f aca="false">EXP(PI()*TAN(RADIANS(G16)))*K16</f>
        <v>18.4011222187087</v>
      </c>
      <c r="M16" s="31" t="n">
        <f aca="false">(L16-1)/TAN(RADIANS(G16))</f>
        <v>30.1396277915191</v>
      </c>
      <c r="N16" s="31" t="n">
        <f aca="false">(L16-1)*TAN(RADIANS(1.4*G16))</f>
        <v>15.6680408210463</v>
      </c>
      <c r="O16" s="32" t="n">
        <f aca="false">1+0.2*K16*Entradas!$C$22</f>
        <v>1.6</v>
      </c>
      <c r="P16" s="32" t="n">
        <f aca="false">1+0.1*K16*Entradas!$C$22</f>
        <v>1.3</v>
      </c>
      <c r="Q16" s="32" t="n">
        <f aca="false">1+0.2*SQRT(K16)*Entradas!$C$18/D16</f>
        <v>1.17320508075689</v>
      </c>
      <c r="R16" s="32" t="n">
        <f aca="false">1+0.1*SQRT(K16)*Entradas!$C$18/D16</f>
        <v>1.08660254037844</v>
      </c>
      <c r="S16" s="19" t="n">
        <f aca="false">F16*M16*O16*Q16+J16*L16*P16*R16+0.5*I16*D16*N16*P16*R16</f>
        <v>2075.84018338694</v>
      </c>
      <c r="T16" s="19" t="n">
        <f aca="false">S16/Entradas!$C$27</f>
        <v>691.946727795648</v>
      </c>
      <c r="U16" s="19" t="n">
        <f aca="false">AI16</f>
        <v>609.048679097505</v>
      </c>
      <c r="V16" s="19" t="n">
        <f aca="false">MIN(T16,U16)</f>
        <v>609.048679097505</v>
      </c>
      <c r="W16" s="33" t="n">
        <f aca="false">Entradas!F8</f>
        <v>10533.6</v>
      </c>
      <c r="X16" s="19" t="n">
        <f aca="false">Entradas!$C$20*W16/(Entradas!$C$21*D16*(1-Entradas!F9^2))+J16</f>
        <v>125.002487562189</v>
      </c>
      <c r="Y16" s="16" t="n">
        <f aca="false">MIN(V16,X16)</f>
        <v>125.002487562189</v>
      </c>
      <c r="Z16" s="18" t="str">
        <f aca="false">IF(X16&lt;V16,"Asentamiento",IF(T16&lt;=U16,"Falla (FSICP)","Falla (FSB directo)"))</f>
        <v>Asentamiento</v>
      </c>
      <c r="AA16" s="19" t="n">
        <f aca="false">MIN(S16/Entradas!$C$28,AO16)</f>
        <v>830.336073354778</v>
      </c>
      <c r="AB16" s="19" t="n">
        <f aca="false">MIN(S16/Entradas!$C$29,AU16)</f>
        <v>1383.8934555913</v>
      </c>
      <c r="AD16" s="31" t="n">
        <f aca="false">DEGREES(ATAN(TAN(RADIANS(G16))/Entradas!$D$27))</f>
        <v>21.0517244353729</v>
      </c>
      <c r="AE16" s="32" t="n">
        <f aca="false">TAN(RADIANS(45+AD16/2))^2</f>
        <v>2.12115027597482</v>
      </c>
      <c r="AF16" s="31" t="n">
        <f aca="false">EXP(PI()*TAN(RADIANS(AD16)))*AE16</f>
        <v>7.10755356345264</v>
      </c>
      <c r="AG16" s="31" t="n">
        <f aca="false">(AF16-1)/TAN(RADIANS(AD16))</f>
        <v>15.8678896227725</v>
      </c>
      <c r="AH16" s="31" t="n">
        <f aca="false">(AF16-1)*TAN(RADIANS(1.4*AD16))</f>
        <v>3.45160677414997</v>
      </c>
      <c r="AI16" s="19" t="n">
        <f aca="false">F16/Entradas!$D$27*AG16*(1+0.2*AE16*Entradas!$C$22)*(1+0.2*SQRT(AE16)*Entradas!$C$18/D16)+J16*AF16*(1+0.1*AE16*Entradas!$C$22)*(1+0.1*SQRT(AE16)*Entradas!$C$18/D16)+0.5*I16*D16*AH16*(1+0.1*AE16*Entradas!$C$22)*(1+0.1*SQRT(AE16)*Entradas!$C$18/D16)</f>
        <v>609.048679097505</v>
      </c>
      <c r="AJ16" s="31" t="n">
        <f aca="false">DEGREES(ATAN(TAN(RADIANS(G16))/Entradas!$D$28))</f>
        <v>24.7912808971449</v>
      </c>
      <c r="AK16" s="32" t="n">
        <f aca="false">TAN(RADIANS(45+AJ16/2))^2</f>
        <v>2.44420181484474</v>
      </c>
      <c r="AL16" s="31" t="n">
        <f aca="false">EXP(PI()*TAN(RADIANS(AJ16)))*AK16</f>
        <v>10.4307492754213</v>
      </c>
      <c r="AM16" s="31" t="n">
        <f aca="false">(AL16-1)/TAN(RADIANS(AJ16))</f>
        <v>20.4181711230913</v>
      </c>
      <c r="AN16" s="31" t="n">
        <f aca="false">(AL16-1)*TAN(RADIANS(1.4*AJ16))</f>
        <v>6.53205835415607</v>
      </c>
      <c r="AO16" s="19" t="n">
        <f aca="false">F16/Entradas!$D$28*AM16*(1+0.2*AK16*Entradas!$C$22)*(1+0.2*SQRT(AK16)*Entradas!$C$18/D16)+J16*AL16*(1+0.1*AK16*Entradas!$C$22)*(1+0.1*SQRT(AK16)*Entradas!$C$18/D16)+0.5*I16*D16*AN16*(1+0.1*AK16*Entradas!$C$22)*(1+0.1*SQRT(AK16)*Entradas!$C$18/D16)</f>
        <v>1002.17707274438</v>
      </c>
      <c r="AP16" s="31" t="n">
        <f aca="false">DEGREES(ATAN(TAN(RADIANS(G16))/Entradas!$D$29))</f>
        <v>27.6933585687982</v>
      </c>
      <c r="AQ16" s="32" t="n">
        <f aca="false">TAN(RADIANS(45+AP16/2))^2</f>
        <v>2.73649778464738</v>
      </c>
      <c r="AR16" s="31" t="n">
        <f aca="false">EXP(PI()*TAN(RADIANS(AP16)))*AQ16</f>
        <v>14.2333447686581</v>
      </c>
      <c r="AS16" s="31" t="n">
        <f aca="false">(AR16-1)/TAN(RADIANS(AP16))</f>
        <v>25.2129080427308</v>
      </c>
      <c r="AT16" s="31" t="n">
        <f aca="false">(AR16-1)*TAN(RADIANS(1.4*AP16))</f>
        <v>10.6287457066911</v>
      </c>
      <c r="AU16" s="19" t="n">
        <f aca="false">F16/Entradas!$D$29*AS16*(1+0.2*AQ16*Entradas!$C$22)*(1+0.2*SQRT(AQ16)*Entradas!$C$18/D16)+J16*AR16*(1+0.1*AQ16*Entradas!$C$22)*(1+0.1*SQRT(AQ16)*Entradas!$C$18/D16)+0.5*I16*D16*AT16*(1+0.1*AQ16*Entradas!$C$22)*(1+0.1*SQRT(AQ16)*Entradas!$C$18/D16)</f>
        <v>1494.24316571151</v>
      </c>
    </row>
    <row r="17" customFormat="false" ht="15" hidden="false" customHeight="false" outlineLevel="0" collapsed="false">
      <c r="A17" s="13" t="s">
        <v>62</v>
      </c>
      <c r="B17" s="18" t="s">
        <v>47</v>
      </c>
      <c r="C17" s="18" t="s">
        <v>44</v>
      </c>
      <c r="D17" s="29" t="n">
        <v>1.5</v>
      </c>
      <c r="E17" s="30" t="s">
        <v>161</v>
      </c>
      <c r="F17" s="21" t="n">
        <f aca="false">Entradas!G5</f>
        <v>29</v>
      </c>
      <c r="G17" s="21" t="n">
        <f aca="false">Entradas!G6</f>
        <v>32</v>
      </c>
      <c r="H17" s="21" t="n">
        <f aca="false">Entradas!G7</f>
        <v>18</v>
      </c>
      <c r="I17" s="31" t="n">
        <f aca="false">IF(E17="NF en la base",H17-Entradas!$C$19,H17)</f>
        <v>8.19</v>
      </c>
      <c r="J17" s="15" t="n">
        <f aca="false">H17*Entradas!$C$18</f>
        <v>27</v>
      </c>
      <c r="K17" s="32" t="n">
        <f aca="false">TAN(RADIANS(45+G17/2))^2</f>
        <v>3.25458830329986</v>
      </c>
      <c r="L17" s="31" t="n">
        <f aca="false">EXP(PI()*TAN(RADIANS(G17)))*K17</f>
        <v>23.1767762070126</v>
      </c>
      <c r="M17" s="31" t="n">
        <f aca="false">(L17-1)/TAN(RADIANS(G17))</f>
        <v>35.4902607068983</v>
      </c>
      <c r="N17" s="31" t="n">
        <f aca="false">(L17-1)*TAN(RADIANS(1.4*G17))</f>
        <v>22.0224910323137</v>
      </c>
      <c r="O17" s="32" t="n">
        <f aca="false">1+0.2*K17*Entradas!$C$22</f>
        <v>1.65091766065997</v>
      </c>
      <c r="P17" s="32" t="n">
        <f aca="false">1+0.1*K17*Entradas!$C$22</f>
        <v>1.32545883032999</v>
      </c>
      <c r="Q17" s="32" t="n">
        <f aca="false">1+0.2*SQRT(K17)*Entradas!$C$18/D17</f>
        <v>1.36080955105428</v>
      </c>
      <c r="R17" s="32" t="n">
        <f aca="false">1+0.1*SQRT(K17)*Entradas!$C$18/D17</f>
        <v>1.18040477552714</v>
      </c>
      <c r="S17" s="19" t="n">
        <f aca="false">F17*M17*O17*Q17+J17*L17*P17*R17+0.5*I17*D17*N17*P17*R17</f>
        <v>3502.94018759994</v>
      </c>
      <c r="T17" s="19" t="n">
        <f aca="false">S17/Entradas!$C$27</f>
        <v>1167.64672919998</v>
      </c>
      <c r="U17" s="19" t="n">
        <f aca="false">AI17</f>
        <v>996.740791449442</v>
      </c>
      <c r="V17" s="19" t="n">
        <f aca="false">MIN(T17,U17)</f>
        <v>996.740791449442</v>
      </c>
      <c r="W17" s="33" t="n">
        <f aca="false">Entradas!G8</f>
        <v>19152</v>
      </c>
      <c r="X17" s="19" t="n">
        <f aca="false">Entradas!$C$20*W17/(Entradas!$C$21*D17*(1-Entradas!G9^2))+J17</f>
        <v>388.827227498869</v>
      </c>
      <c r="Y17" s="16" t="n">
        <f aca="false">MIN(V17,X17)</f>
        <v>388.827227498869</v>
      </c>
      <c r="Z17" s="18" t="str">
        <f aca="false">IF(X17&lt;V17,"Asentamiento",IF(T17&lt;=U17,"Falla (FSICP)","Falla (FSB directo)"))</f>
        <v>Asentamiento</v>
      </c>
      <c r="AA17" s="19" t="n">
        <f aca="false">MIN(S17/Entradas!$C$28,AO17)</f>
        <v>1401.17607503998</v>
      </c>
      <c r="AB17" s="19" t="n">
        <f aca="false">MIN(S17/Entradas!$C$29,AU17)</f>
        <v>2335.29345839996</v>
      </c>
      <c r="AD17" s="31" t="n">
        <f aca="false">DEGREES(ATAN(TAN(RADIANS(G17))/Entradas!$D$27))</f>
        <v>22.615612650385</v>
      </c>
      <c r="AE17" s="32" t="n">
        <f aca="false">TAN(RADIANS(45+AD17/2))^2</f>
        <v>2.24963822878097</v>
      </c>
      <c r="AF17" s="31" t="n">
        <f aca="false">EXP(PI()*TAN(RADIANS(AD17)))*AE17</f>
        <v>8.32691239293527</v>
      </c>
      <c r="AG17" s="31" t="n">
        <f aca="false">(AF17-1)/TAN(RADIANS(AD17))</f>
        <v>17.5882663405097</v>
      </c>
      <c r="AH17" s="31" t="n">
        <f aca="false">(AF17-1)*TAN(RADIANS(1.4*AD17))</f>
        <v>4.51845797105384</v>
      </c>
      <c r="AI17" s="19" t="n">
        <f aca="false">F17/Entradas!$D$27*AG17*(1+0.2*AE17*Entradas!$C$22)*(1+0.2*SQRT(AE17)*Entradas!$C$18/D17)+J17*AF17*(1+0.1*AE17*Entradas!$C$22)*(1+0.1*SQRT(AE17)*Entradas!$C$18/D17)+0.5*I17*D17*AH17*(1+0.1*AE17*Entradas!$C$22)*(1+0.1*SQRT(AE17)*Entradas!$C$18/D17)</f>
        <v>996.740791449442</v>
      </c>
      <c r="AJ17" s="31" t="n">
        <f aca="false">DEGREES(ATAN(TAN(RADIANS(G17))/Entradas!$D$28))</f>
        <v>26.560260202905</v>
      </c>
      <c r="AK17" s="32" t="n">
        <f aca="false">TAN(RADIANS(45+AJ17/2))^2</f>
        <v>2.61754453484014</v>
      </c>
      <c r="AL17" s="31" t="n">
        <f aca="false">EXP(PI()*TAN(RADIANS(AJ17)))*AK17</f>
        <v>12.5875049364171</v>
      </c>
      <c r="AM17" s="31" t="n">
        <f aca="false">(AL17-1)/TAN(RADIANS(AJ17))</f>
        <v>23.1798553189774</v>
      </c>
      <c r="AN17" s="31" t="n">
        <f aca="false">(AL17-1)*TAN(RADIANS(1.4*AJ17))</f>
        <v>8.79041196124977</v>
      </c>
      <c r="AO17" s="19" t="n">
        <f aca="false">F17/Entradas!$D$28*AM17*(1+0.2*AK17*Entradas!$C$22)*(1+0.2*SQRT(AK17)*Entradas!$C$18/D17)+J17*AL17*(1+0.1*AK17*Entradas!$C$22)*(1+0.1*SQRT(AK17)*Entradas!$C$18/D17)+0.5*I17*D17*AN17*(1+0.1*AK17*Entradas!$C$22)*(1+0.1*SQRT(AK17)*Entradas!$C$18/D17)</f>
        <v>1661.76085593501</v>
      </c>
      <c r="AP17" s="31" t="n">
        <f aca="false">DEGREES(ATAN(TAN(RADIANS(G17))/Entradas!$D$29))</f>
        <v>29.5993061539384</v>
      </c>
      <c r="AQ17" s="32" t="n">
        <f aca="false">TAN(RADIANS(45+AP17/2))^2</f>
        <v>2.95203288888275</v>
      </c>
      <c r="AR17" s="31" t="n">
        <f aca="false">EXP(PI()*TAN(RADIANS(AP17)))*AQ17</f>
        <v>17.5862393957792</v>
      </c>
      <c r="AS17" s="31" t="n">
        <f aca="false">(AR17-1)/TAN(RADIANS(AP17))</f>
        <v>29.197884773207</v>
      </c>
      <c r="AT17" s="31" t="n">
        <f aca="false">(AR17-1)*TAN(RADIANS(1.4*AP17))</f>
        <v>14.6428288011081</v>
      </c>
      <c r="AU17" s="19" t="n">
        <f aca="false">F17/Entradas!$D$29*AS17*(1+0.2*AQ17*Entradas!$C$22)*(1+0.2*SQRT(AQ17)*Entradas!$C$18/D17)+J17*AR17*(1+0.1*AQ17*Entradas!$C$22)*(1+0.1*SQRT(AQ17)*Entradas!$C$18/D17)+0.5*I17*D17*AT17*(1+0.1*AQ17*Entradas!$C$22)*(1+0.1*SQRT(AQ17)*Entradas!$C$18/D17)</f>
        <v>2502.09490022625</v>
      </c>
    </row>
    <row r="18" customFormat="false" ht="15" hidden="false" customHeight="false" outlineLevel="0" collapsed="false">
      <c r="A18" s="13" t="s">
        <v>62</v>
      </c>
      <c r="B18" s="18" t="s">
        <v>47</v>
      </c>
      <c r="C18" s="18" t="s">
        <v>44</v>
      </c>
      <c r="D18" s="29" t="n">
        <v>1.5</v>
      </c>
      <c r="E18" s="30" t="s">
        <v>162</v>
      </c>
      <c r="F18" s="21" t="n">
        <f aca="false">Entradas!G5</f>
        <v>29</v>
      </c>
      <c r="G18" s="21" t="n">
        <f aca="false">Entradas!G6</f>
        <v>32</v>
      </c>
      <c r="H18" s="21" t="n">
        <f aca="false">Entradas!G7</f>
        <v>18</v>
      </c>
      <c r="I18" s="31" t="n">
        <f aca="false">IF(E18="NF en la base",H18-Entradas!$C$19,H18)</f>
        <v>18</v>
      </c>
      <c r="J18" s="15" t="n">
        <f aca="false">H18*Entradas!$C$18</f>
        <v>27</v>
      </c>
      <c r="K18" s="32" t="n">
        <f aca="false">TAN(RADIANS(45+G18/2))^2</f>
        <v>3.25458830329986</v>
      </c>
      <c r="L18" s="31" t="n">
        <f aca="false">EXP(PI()*TAN(RADIANS(G18)))*K18</f>
        <v>23.1767762070126</v>
      </c>
      <c r="M18" s="31" t="n">
        <f aca="false">(L18-1)/TAN(RADIANS(G18))</f>
        <v>35.4902607068983</v>
      </c>
      <c r="N18" s="31" t="n">
        <f aca="false">(L18-1)*TAN(RADIANS(1.4*G18))</f>
        <v>22.0224910323137</v>
      </c>
      <c r="O18" s="32" t="n">
        <f aca="false">1+0.2*K18*Entradas!$C$22</f>
        <v>1.65091766065997</v>
      </c>
      <c r="P18" s="32" t="n">
        <f aca="false">1+0.1*K18*Entradas!$C$22</f>
        <v>1.32545883032999</v>
      </c>
      <c r="Q18" s="32" t="n">
        <f aca="false">1+0.2*SQRT(K18)*Entradas!$C$18/D18</f>
        <v>1.36080955105428</v>
      </c>
      <c r="R18" s="32" t="n">
        <f aca="false">1+0.1*SQRT(K18)*Entradas!$C$18/D18</f>
        <v>1.18040477552714</v>
      </c>
      <c r="S18" s="19" t="n">
        <f aca="false">F18*M18*O18*Q18+J18*L18*P18*R18+0.5*I18*D18*N18*P18*R18</f>
        <v>3756.44949760667</v>
      </c>
      <c r="T18" s="19" t="n">
        <f aca="false">S18/Entradas!$C$27</f>
        <v>1252.14983253556</v>
      </c>
      <c r="U18" s="19" t="n">
        <f aca="false">AI18</f>
        <v>1043.57218343161</v>
      </c>
      <c r="V18" s="19" t="n">
        <f aca="false">MIN(T18,U18)</f>
        <v>1043.57218343161</v>
      </c>
      <c r="W18" s="33" t="n">
        <f aca="false">Entradas!G8</f>
        <v>19152</v>
      </c>
      <c r="X18" s="19" t="n">
        <f aca="false">Entradas!$C$20*W18/(Entradas!$C$21*D18*(1-Entradas!G9^2))+J18</f>
        <v>388.827227498869</v>
      </c>
      <c r="Y18" s="16" t="n">
        <f aca="false">MIN(V18,X18)</f>
        <v>388.827227498869</v>
      </c>
      <c r="Z18" s="18" t="str">
        <f aca="false">IF(X18&lt;V18,"Asentamiento",IF(T18&lt;=U18,"Falla (FSICP)","Falla (FSB directo)"))</f>
        <v>Asentamiento</v>
      </c>
      <c r="AA18" s="19" t="n">
        <f aca="false">MIN(S18/Entradas!$C$28,AO18)</f>
        <v>1502.57979904267</v>
      </c>
      <c r="AB18" s="19" t="n">
        <f aca="false">MIN(S18/Entradas!$C$29,AU18)</f>
        <v>2504.29966507112</v>
      </c>
      <c r="AD18" s="31" t="n">
        <f aca="false">DEGREES(ATAN(TAN(RADIANS(G18))/Entradas!$D$27))</f>
        <v>22.615612650385</v>
      </c>
      <c r="AE18" s="32" t="n">
        <f aca="false">TAN(RADIANS(45+AD18/2))^2</f>
        <v>2.24963822878097</v>
      </c>
      <c r="AF18" s="31" t="n">
        <f aca="false">EXP(PI()*TAN(RADIANS(AD18)))*AE18</f>
        <v>8.32691239293527</v>
      </c>
      <c r="AG18" s="31" t="n">
        <f aca="false">(AF18-1)/TAN(RADIANS(AD18))</f>
        <v>17.5882663405097</v>
      </c>
      <c r="AH18" s="31" t="n">
        <f aca="false">(AF18-1)*TAN(RADIANS(1.4*AD18))</f>
        <v>4.51845797105384</v>
      </c>
      <c r="AI18" s="19" t="n">
        <f aca="false">F18/Entradas!$D$27*AG18*(1+0.2*AE18*Entradas!$C$22)*(1+0.2*SQRT(AE18)*Entradas!$C$18/D18)+J18*AF18*(1+0.1*AE18*Entradas!$C$22)*(1+0.1*SQRT(AE18)*Entradas!$C$18/D18)+0.5*I18*D18*AH18*(1+0.1*AE18*Entradas!$C$22)*(1+0.1*SQRT(AE18)*Entradas!$C$18/D18)</f>
        <v>1043.57218343161</v>
      </c>
      <c r="AJ18" s="31" t="n">
        <f aca="false">DEGREES(ATAN(TAN(RADIANS(G18))/Entradas!$D$28))</f>
        <v>26.560260202905</v>
      </c>
      <c r="AK18" s="32" t="n">
        <f aca="false">TAN(RADIANS(45+AJ18/2))^2</f>
        <v>2.61754453484014</v>
      </c>
      <c r="AL18" s="31" t="n">
        <f aca="false">EXP(PI()*TAN(RADIANS(AJ18)))*AK18</f>
        <v>12.5875049364171</v>
      </c>
      <c r="AM18" s="31" t="n">
        <f aca="false">(AL18-1)/TAN(RADIANS(AJ18))</f>
        <v>23.1798553189774</v>
      </c>
      <c r="AN18" s="31" t="n">
        <f aca="false">(AL18-1)*TAN(RADIANS(1.4*AJ18))</f>
        <v>8.79041196124977</v>
      </c>
      <c r="AO18" s="19" t="n">
        <f aca="false">F18/Entradas!$D$28*AM18*(1+0.2*AK18*Entradas!$C$22)*(1+0.2*SQRT(AK18)*Entradas!$C$18/D18)+J18*AL18*(1+0.1*AK18*Entradas!$C$22)*(1+0.1*SQRT(AK18)*Entradas!$C$18/D18)+0.5*I18*D18*AN18*(1+0.1*AK18*Entradas!$C$22)*(1+0.1*SQRT(AK18)*Entradas!$C$18/D18)</f>
        <v>1756.56805894457</v>
      </c>
      <c r="AP18" s="31" t="n">
        <f aca="false">DEGREES(ATAN(TAN(RADIANS(G18))/Entradas!$D$29))</f>
        <v>29.5993061539384</v>
      </c>
      <c r="AQ18" s="32" t="n">
        <f aca="false">TAN(RADIANS(45+AP18/2))^2</f>
        <v>2.95203288888275</v>
      </c>
      <c r="AR18" s="31" t="n">
        <f aca="false">EXP(PI()*TAN(RADIANS(AP18)))*AQ18</f>
        <v>17.5862393957792</v>
      </c>
      <c r="AS18" s="31" t="n">
        <f aca="false">(AR18-1)/TAN(RADIANS(AP18))</f>
        <v>29.197884773207</v>
      </c>
      <c r="AT18" s="31" t="n">
        <f aca="false">(AR18-1)*TAN(RADIANS(1.4*AP18))</f>
        <v>14.6428288011081</v>
      </c>
      <c r="AU18" s="19" t="n">
        <f aca="false">F18/Entradas!$D$29*AS18*(1+0.2*AQ18*Entradas!$C$22)*(1+0.2*SQRT(AQ18)*Entradas!$C$18/D18)+J18*AR18*(1+0.1*AQ18*Entradas!$C$22)*(1+0.1*SQRT(AQ18)*Entradas!$C$18/D18)+0.5*I18*D18*AT18*(1+0.1*AQ18*Entradas!$C$22)*(1+0.1*SQRT(AQ18)*Entradas!$C$18/D18)</f>
        <v>2665.60785877726</v>
      </c>
    </row>
    <row r="19" customFormat="false" ht="15" hidden="false" customHeight="false" outlineLevel="0" collapsed="false">
      <c r="A19" s="13" t="s">
        <v>62</v>
      </c>
      <c r="B19" s="18" t="s">
        <v>47</v>
      </c>
      <c r="C19" s="18" t="s">
        <v>44</v>
      </c>
      <c r="D19" s="29" t="n">
        <v>2</v>
      </c>
      <c r="E19" s="30" t="s">
        <v>161</v>
      </c>
      <c r="F19" s="21" t="n">
        <f aca="false">Entradas!G5</f>
        <v>29</v>
      </c>
      <c r="G19" s="21" t="n">
        <f aca="false">Entradas!G6</f>
        <v>32</v>
      </c>
      <c r="H19" s="21" t="n">
        <f aca="false">Entradas!G7</f>
        <v>18</v>
      </c>
      <c r="I19" s="31" t="n">
        <f aca="false">IF(E19="NF en la base",H19-Entradas!$C$19,H19)</f>
        <v>8.19</v>
      </c>
      <c r="J19" s="15" t="n">
        <f aca="false">H19*Entradas!$C$18</f>
        <v>27</v>
      </c>
      <c r="K19" s="32" t="n">
        <f aca="false">TAN(RADIANS(45+G19/2))^2</f>
        <v>3.25458830329986</v>
      </c>
      <c r="L19" s="31" t="n">
        <f aca="false">EXP(PI()*TAN(RADIANS(G19)))*K19</f>
        <v>23.1767762070126</v>
      </c>
      <c r="M19" s="31" t="n">
        <f aca="false">(L19-1)/TAN(RADIANS(G19))</f>
        <v>35.4902607068983</v>
      </c>
      <c r="N19" s="31" t="n">
        <f aca="false">(L19-1)*TAN(RADIANS(1.4*G19))</f>
        <v>22.0224910323137</v>
      </c>
      <c r="O19" s="32" t="n">
        <f aca="false">1+0.2*K19*Entradas!$C$22</f>
        <v>1.65091766065997</v>
      </c>
      <c r="P19" s="32" t="n">
        <f aca="false">1+0.1*K19*Entradas!$C$22</f>
        <v>1.32545883032999</v>
      </c>
      <c r="Q19" s="32" t="n">
        <f aca="false">1+0.2*SQRT(K19)*Entradas!$C$18/D19</f>
        <v>1.27060716329071</v>
      </c>
      <c r="R19" s="32" t="n">
        <f aca="false">1+0.1*SQRT(K19)*Entradas!$C$18/D19</f>
        <v>1.13530358164536</v>
      </c>
      <c r="S19" s="19" t="n">
        <f aca="false">F19*M19*O19*Q19+J19*L19*P19*R19+0.5*I19*D19*N19*P19*R19</f>
        <v>3372.03025334715</v>
      </c>
      <c r="T19" s="19" t="n">
        <f aca="false">S19/Entradas!$C$27</f>
        <v>1124.01008444905</v>
      </c>
      <c r="U19" s="19" t="n">
        <f aca="false">AI19</f>
        <v>960.772246492445</v>
      </c>
      <c r="V19" s="19" t="n">
        <f aca="false">MIN(T19,U19)</f>
        <v>960.772246492445</v>
      </c>
      <c r="W19" s="33" t="n">
        <f aca="false">Entradas!G8</f>
        <v>19152</v>
      </c>
      <c r="X19" s="19" t="n">
        <f aca="false">Entradas!$C$20*W19/(Entradas!$C$21*D19*(1-Entradas!G9^2))+J19</f>
        <v>298.370420624152</v>
      </c>
      <c r="Y19" s="16" t="n">
        <f aca="false">MIN(V19,X19)</f>
        <v>298.370420624152</v>
      </c>
      <c r="Z19" s="18" t="str">
        <f aca="false">IF(X19&lt;V19,"Asentamiento",IF(T19&lt;=U19,"Falla (FSICP)","Falla (FSB directo)"))</f>
        <v>Asentamiento</v>
      </c>
      <c r="AA19" s="19" t="n">
        <f aca="false">MIN(S19/Entradas!$C$28,AO19)</f>
        <v>1348.81210133886</v>
      </c>
      <c r="AB19" s="19" t="n">
        <f aca="false">MIN(S19/Entradas!$C$29,AU19)</f>
        <v>2248.0201688981</v>
      </c>
      <c r="AD19" s="31" t="n">
        <f aca="false">DEGREES(ATAN(TAN(RADIANS(G19))/Entradas!$D$27))</f>
        <v>22.615612650385</v>
      </c>
      <c r="AE19" s="32" t="n">
        <f aca="false">TAN(RADIANS(45+AD19/2))^2</f>
        <v>2.24963822878097</v>
      </c>
      <c r="AF19" s="31" t="n">
        <f aca="false">EXP(PI()*TAN(RADIANS(AD19)))*AE19</f>
        <v>8.32691239293527</v>
      </c>
      <c r="AG19" s="31" t="n">
        <f aca="false">(AF19-1)/TAN(RADIANS(AD19))</f>
        <v>17.5882663405097</v>
      </c>
      <c r="AH19" s="31" t="n">
        <f aca="false">(AF19-1)*TAN(RADIANS(1.4*AD19))</f>
        <v>4.51845797105384</v>
      </c>
      <c r="AI19" s="19" t="n">
        <f aca="false">F19/Entradas!$D$27*AG19*(1+0.2*AE19*Entradas!$C$22)*(1+0.2*SQRT(AE19)*Entradas!$C$18/D19)+J19*AF19*(1+0.1*AE19*Entradas!$C$22)*(1+0.1*SQRT(AE19)*Entradas!$C$18/D19)+0.5*I19*D19*AH19*(1+0.1*AE19*Entradas!$C$22)*(1+0.1*SQRT(AE19)*Entradas!$C$18/D19)</f>
        <v>960.772246492445</v>
      </c>
      <c r="AJ19" s="31" t="n">
        <f aca="false">DEGREES(ATAN(TAN(RADIANS(G19))/Entradas!$D$28))</f>
        <v>26.560260202905</v>
      </c>
      <c r="AK19" s="32" t="n">
        <f aca="false">TAN(RADIANS(45+AJ19/2))^2</f>
        <v>2.61754453484014</v>
      </c>
      <c r="AL19" s="31" t="n">
        <f aca="false">EXP(PI()*TAN(RADIANS(AJ19)))*AK19</f>
        <v>12.5875049364171</v>
      </c>
      <c r="AM19" s="31" t="n">
        <f aca="false">(AL19-1)/TAN(RADIANS(AJ19))</f>
        <v>23.1798553189774</v>
      </c>
      <c r="AN19" s="31" t="n">
        <f aca="false">(AL19-1)*TAN(RADIANS(1.4*AJ19))</f>
        <v>8.79041196124977</v>
      </c>
      <c r="AO19" s="19" t="n">
        <f aca="false">F19/Entradas!$D$28*AM19*(1+0.2*AK19*Entradas!$C$22)*(1+0.2*SQRT(AK19)*Entradas!$C$18/D19)+J19*AL19*(1+0.1*AK19*Entradas!$C$22)*(1+0.1*SQRT(AK19)*Entradas!$C$18/D19)+0.5*I19*D19*AN19*(1+0.1*AK19*Entradas!$C$22)*(1+0.1*SQRT(AK19)*Entradas!$C$18/D19)</f>
        <v>1600.84905627784</v>
      </c>
      <c r="AP19" s="31" t="n">
        <f aca="false">DEGREES(ATAN(TAN(RADIANS(G19))/Entradas!$D$29))</f>
        <v>29.5993061539384</v>
      </c>
      <c r="AQ19" s="32" t="n">
        <f aca="false">TAN(RADIANS(45+AP19/2))^2</f>
        <v>2.95203288888275</v>
      </c>
      <c r="AR19" s="31" t="n">
        <f aca="false">EXP(PI()*TAN(RADIANS(AP19)))*AQ19</f>
        <v>17.5862393957792</v>
      </c>
      <c r="AS19" s="31" t="n">
        <f aca="false">(AR19-1)/TAN(RADIANS(AP19))</f>
        <v>29.197884773207</v>
      </c>
      <c r="AT19" s="31" t="n">
        <f aca="false">(AR19-1)*TAN(RADIANS(1.4*AP19))</f>
        <v>14.6428288011081</v>
      </c>
      <c r="AU19" s="19" t="n">
        <f aca="false">F19/Entradas!$D$29*AS19*(1+0.2*AQ19*Entradas!$C$22)*(1+0.2*SQRT(AQ19)*Entradas!$C$18/D19)+J19*AR19*(1+0.1*AQ19*Entradas!$C$22)*(1+0.1*SQRT(AQ19)*Entradas!$C$18/D19)+0.5*I19*D19*AT19*(1+0.1*AQ19*Entradas!$C$22)*(1+0.1*SQRT(AQ19)*Entradas!$C$18/D19)</f>
        <v>2409.33926795243</v>
      </c>
    </row>
    <row r="20" customFormat="false" ht="15" hidden="false" customHeight="false" outlineLevel="0" collapsed="false">
      <c r="A20" s="13" t="s">
        <v>62</v>
      </c>
      <c r="B20" s="18" t="s">
        <v>47</v>
      </c>
      <c r="C20" s="18" t="s">
        <v>44</v>
      </c>
      <c r="D20" s="29" t="n">
        <v>2</v>
      </c>
      <c r="E20" s="30" t="s">
        <v>162</v>
      </c>
      <c r="F20" s="21" t="n">
        <f aca="false">Entradas!G5</f>
        <v>29</v>
      </c>
      <c r="G20" s="21" t="n">
        <f aca="false">Entradas!G6</f>
        <v>32</v>
      </c>
      <c r="H20" s="21" t="n">
        <f aca="false">Entradas!G7</f>
        <v>18</v>
      </c>
      <c r="I20" s="31" t="n">
        <f aca="false">IF(E20="NF en la base",H20-Entradas!$C$19,H20)</f>
        <v>18</v>
      </c>
      <c r="J20" s="15" t="n">
        <f aca="false">H20*Entradas!$C$18</f>
        <v>27</v>
      </c>
      <c r="K20" s="32" t="n">
        <f aca="false">TAN(RADIANS(45+G20/2))^2</f>
        <v>3.25458830329986</v>
      </c>
      <c r="L20" s="31" t="n">
        <f aca="false">EXP(PI()*TAN(RADIANS(G20)))*K20</f>
        <v>23.1767762070126</v>
      </c>
      <c r="M20" s="31" t="n">
        <f aca="false">(L20-1)/TAN(RADIANS(G20))</f>
        <v>35.4902607068983</v>
      </c>
      <c r="N20" s="31" t="n">
        <f aca="false">(L20-1)*TAN(RADIANS(1.4*G20))</f>
        <v>22.0224910323137</v>
      </c>
      <c r="O20" s="32" t="n">
        <f aca="false">1+0.2*K20*Entradas!$C$22</f>
        <v>1.65091766065997</v>
      </c>
      <c r="P20" s="32" t="n">
        <f aca="false">1+0.1*K20*Entradas!$C$22</f>
        <v>1.32545883032999</v>
      </c>
      <c r="Q20" s="32" t="n">
        <f aca="false">1+0.2*SQRT(K20)*Entradas!$C$18/D20</f>
        <v>1.27060716329071</v>
      </c>
      <c r="R20" s="32" t="n">
        <f aca="false">1+0.1*SQRT(K20)*Entradas!$C$18/D20</f>
        <v>1.13530358164536</v>
      </c>
      <c r="S20" s="19" t="n">
        <f aca="false">F20*M20*O20*Q20+J20*L20*P20*R20+0.5*I20*D20*N20*P20*R20</f>
        <v>3697.12780586827</v>
      </c>
      <c r="T20" s="19" t="n">
        <f aca="false">S20/Entradas!$C$27</f>
        <v>1232.37593528942</v>
      </c>
      <c r="U20" s="19" t="n">
        <f aca="false">AI20</f>
        <v>1021.17809734034</v>
      </c>
      <c r="V20" s="19" t="n">
        <f aca="false">MIN(T20,U20)</f>
        <v>1021.17809734034</v>
      </c>
      <c r="W20" s="33" t="n">
        <f aca="false">Entradas!G8</f>
        <v>19152</v>
      </c>
      <c r="X20" s="19" t="n">
        <f aca="false">Entradas!$C$20*W20/(Entradas!$C$21*D20*(1-Entradas!G9^2))+J20</f>
        <v>298.370420624152</v>
      </c>
      <c r="Y20" s="16" t="n">
        <f aca="false">MIN(V20,X20)</f>
        <v>298.370420624152</v>
      </c>
      <c r="Z20" s="18" t="str">
        <f aca="false">IF(X20&lt;V20,"Asentamiento",IF(T20&lt;=U20,"Falla (FSICP)","Falla (FSB directo)"))</f>
        <v>Asentamiento</v>
      </c>
      <c r="AA20" s="19" t="n">
        <f aca="false">MIN(S20/Entradas!$C$28,AO20)</f>
        <v>1478.85112234731</v>
      </c>
      <c r="AB20" s="19" t="n">
        <f aca="false">MIN(S20/Entradas!$C$29,AU20)</f>
        <v>2464.75187057885</v>
      </c>
      <c r="AD20" s="31" t="n">
        <f aca="false">DEGREES(ATAN(TAN(RADIANS(G20))/Entradas!$D$27))</f>
        <v>22.615612650385</v>
      </c>
      <c r="AE20" s="32" t="n">
        <f aca="false">TAN(RADIANS(45+AD20/2))^2</f>
        <v>2.24963822878097</v>
      </c>
      <c r="AF20" s="31" t="n">
        <f aca="false">EXP(PI()*TAN(RADIANS(AD20)))*AE20</f>
        <v>8.32691239293527</v>
      </c>
      <c r="AG20" s="31" t="n">
        <f aca="false">(AF20-1)/TAN(RADIANS(AD20))</f>
        <v>17.5882663405097</v>
      </c>
      <c r="AH20" s="31" t="n">
        <f aca="false">(AF20-1)*TAN(RADIANS(1.4*AD20))</f>
        <v>4.51845797105384</v>
      </c>
      <c r="AI20" s="19" t="n">
        <f aca="false">F20/Entradas!$D$27*AG20*(1+0.2*AE20*Entradas!$C$22)*(1+0.2*SQRT(AE20)*Entradas!$C$18/D20)+J20*AF20*(1+0.1*AE20*Entradas!$C$22)*(1+0.1*SQRT(AE20)*Entradas!$C$18/D20)+0.5*I20*D20*AH20*(1+0.1*AE20*Entradas!$C$22)*(1+0.1*SQRT(AE20)*Entradas!$C$18/D20)</f>
        <v>1021.17809734034</v>
      </c>
      <c r="AJ20" s="31" t="n">
        <f aca="false">DEGREES(ATAN(TAN(RADIANS(G20))/Entradas!$D$28))</f>
        <v>26.560260202905</v>
      </c>
      <c r="AK20" s="32" t="n">
        <f aca="false">TAN(RADIANS(45+AJ20/2))^2</f>
        <v>2.61754453484014</v>
      </c>
      <c r="AL20" s="31" t="n">
        <f aca="false">EXP(PI()*TAN(RADIANS(AJ20)))*AK20</f>
        <v>12.5875049364171</v>
      </c>
      <c r="AM20" s="31" t="n">
        <f aca="false">(AL20-1)/TAN(RADIANS(AJ20))</f>
        <v>23.1798553189774</v>
      </c>
      <c r="AN20" s="31" t="n">
        <f aca="false">(AL20-1)*TAN(RADIANS(1.4*AJ20))</f>
        <v>8.79041196124977</v>
      </c>
      <c r="AO20" s="19" t="n">
        <f aca="false">F20/Entradas!$D$28*AM20*(1+0.2*AK20*Entradas!$C$22)*(1+0.2*SQRT(AK20)*Entradas!$C$18/D20)+J20*AL20*(1+0.1*AK20*Entradas!$C$22)*(1+0.1*SQRT(AK20)*Entradas!$C$18/D20)+0.5*I20*D20*AN20*(1+0.1*AK20*Entradas!$C$22)*(1+0.1*SQRT(AK20)*Entradas!$C$18/D20)</f>
        <v>1722.85777416917</v>
      </c>
      <c r="AP20" s="31" t="n">
        <f aca="false">DEGREES(ATAN(TAN(RADIANS(G20))/Entradas!$D$29))</f>
        <v>29.5993061539384</v>
      </c>
      <c r="AQ20" s="32" t="n">
        <f aca="false">TAN(RADIANS(45+AP20/2))^2</f>
        <v>2.95203288888275</v>
      </c>
      <c r="AR20" s="31" t="n">
        <f aca="false">EXP(PI()*TAN(RADIANS(AP20)))*AQ20</f>
        <v>17.5862393957792</v>
      </c>
      <c r="AS20" s="31" t="n">
        <f aca="false">(AR20-1)/TAN(RADIANS(AP20))</f>
        <v>29.197884773207</v>
      </c>
      <c r="AT20" s="31" t="n">
        <f aca="false">(AR20-1)*TAN(RADIANS(1.4*AP20))</f>
        <v>14.6428288011081</v>
      </c>
      <c r="AU20" s="19" t="n">
        <f aca="false">F20/Entradas!$D$29*AS20*(1+0.2*AQ20*Entradas!$C$22)*(1+0.2*SQRT(AQ20)*Entradas!$C$18/D20)+J20*AR20*(1+0.1*AQ20*Entradas!$C$22)*(1+0.1*SQRT(AQ20)*Entradas!$C$18/D20)+0.5*I20*D20*AT20*(1+0.1*AQ20*Entradas!$C$22)*(1+0.1*SQRT(AQ20)*Entradas!$C$18/D20)</f>
        <v>2619.36496815696</v>
      </c>
    </row>
    <row r="21" customFormat="false" ht="15" hidden="false" customHeight="false" outlineLevel="0" collapsed="false">
      <c r="A21" s="13" t="s">
        <v>62</v>
      </c>
      <c r="B21" s="18" t="s">
        <v>47</v>
      </c>
      <c r="C21" s="18" t="s">
        <v>44</v>
      </c>
      <c r="D21" s="29" t="n">
        <v>3</v>
      </c>
      <c r="E21" s="30" t="s">
        <v>161</v>
      </c>
      <c r="F21" s="21" t="n">
        <f aca="false">Entradas!G5</f>
        <v>29</v>
      </c>
      <c r="G21" s="21" t="n">
        <f aca="false">Entradas!G6</f>
        <v>32</v>
      </c>
      <c r="H21" s="21" t="n">
        <f aca="false">Entradas!G7</f>
        <v>18</v>
      </c>
      <c r="I21" s="31" t="n">
        <f aca="false">IF(E21="NF en la base",H21-Entradas!$C$19,H21)</f>
        <v>8.19</v>
      </c>
      <c r="J21" s="15" t="n">
        <f aca="false">H21*Entradas!$C$18</f>
        <v>27</v>
      </c>
      <c r="K21" s="32" t="n">
        <f aca="false">TAN(RADIANS(45+G21/2))^2</f>
        <v>3.25458830329986</v>
      </c>
      <c r="L21" s="31" t="n">
        <f aca="false">EXP(PI()*TAN(RADIANS(G21)))*K21</f>
        <v>23.1767762070126</v>
      </c>
      <c r="M21" s="31" t="n">
        <f aca="false">(L21-1)/TAN(RADIANS(G21))</f>
        <v>35.4902607068983</v>
      </c>
      <c r="N21" s="31" t="n">
        <f aca="false">(L21-1)*TAN(RADIANS(1.4*G21))</f>
        <v>22.0224910323137</v>
      </c>
      <c r="O21" s="32" t="n">
        <f aca="false">1+0.2*K21*Entradas!$C$22</f>
        <v>1.65091766065997</v>
      </c>
      <c r="P21" s="32" t="n">
        <f aca="false">1+0.1*K21*Entradas!$C$22</f>
        <v>1.32545883032999</v>
      </c>
      <c r="Q21" s="32" t="n">
        <f aca="false">1+0.2*SQRT(K21)*Entradas!$C$18/D21</f>
        <v>1.18040477552714</v>
      </c>
      <c r="R21" s="32" t="n">
        <f aca="false">1+0.1*SQRT(K21)*Entradas!$C$18/D21</f>
        <v>1.09020238776357</v>
      </c>
      <c r="S21" s="19" t="n">
        <f aca="false">F21*M21*O21*Q21+J21*L21*P21*R21+0.5*I21*D21*N21*P21*R21</f>
        <v>3300.88665000086</v>
      </c>
      <c r="T21" s="19" t="n">
        <f aca="false">S21/Entradas!$C$27</f>
        <v>1100.29555000029</v>
      </c>
      <c r="U21" s="19" t="n">
        <f aca="false">AI21</f>
        <v>936.136506643533</v>
      </c>
      <c r="V21" s="19" t="n">
        <f aca="false">MIN(T21,U21)</f>
        <v>936.136506643533</v>
      </c>
      <c r="W21" s="33" t="n">
        <f aca="false">Entradas!G8</f>
        <v>19152</v>
      </c>
      <c r="X21" s="19" t="n">
        <f aca="false">Entradas!$C$20*W21/(Entradas!$C$21*D21*(1-Entradas!G9^2))+J21</f>
        <v>207.913613749435</v>
      </c>
      <c r="Y21" s="16" t="n">
        <f aca="false">MIN(V21,X21)</f>
        <v>207.913613749435</v>
      </c>
      <c r="Z21" s="18" t="str">
        <f aca="false">IF(X21&lt;V21,"Asentamiento",IF(T21&lt;=U21,"Falla (FSICP)","Falla (FSB directo)"))</f>
        <v>Asentamiento</v>
      </c>
      <c r="AA21" s="19" t="n">
        <f aca="false">MIN(S21/Entradas!$C$28,AO21)</f>
        <v>1320.35466000034</v>
      </c>
      <c r="AB21" s="19" t="n">
        <f aca="false">MIN(S21/Entradas!$C$29,AU21)</f>
        <v>2200.59110000057</v>
      </c>
      <c r="AD21" s="31" t="n">
        <f aca="false">DEGREES(ATAN(TAN(RADIANS(G21))/Entradas!$D$27))</f>
        <v>22.615612650385</v>
      </c>
      <c r="AE21" s="32" t="n">
        <f aca="false">TAN(RADIANS(45+AD21/2))^2</f>
        <v>2.24963822878097</v>
      </c>
      <c r="AF21" s="31" t="n">
        <f aca="false">EXP(PI()*TAN(RADIANS(AD21)))*AE21</f>
        <v>8.32691239293527</v>
      </c>
      <c r="AG21" s="31" t="n">
        <f aca="false">(AF21-1)/TAN(RADIANS(AD21))</f>
        <v>17.5882663405097</v>
      </c>
      <c r="AH21" s="31" t="n">
        <f aca="false">(AF21-1)*TAN(RADIANS(1.4*AD21))</f>
        <v>4.51845797105384</v>
      </c>
      <c r="AI21" s="19" t="n">
        <f aca="false">F21/Entradas!$D$27*AG21*(1+0.2*AE21*Entradas!$C$22)*(1+0.2*SQRT(AE21)*Entradas!$C$18/D21)+J21*AF21*(1+0.1*AE21*Entradas!$C$22)*(1+0.1*SQRT(AE21)*Entradas!$C$18/D21)+0.5*I21*D21*AH21*(1+0.1*AE21*Entradas!$C$22)*(1+0.1*SQRT(AE21)*Entradas!$C$18/D21)</f>
        <v>936.136506643533</v>
      </c>
      <c r="AJ21" s="31" t="n">
        <f aca="false">DEGREES(ATAN(TAN(RADIANS(G21))/Entradas!$D$28))</f>
        <v>26.560260202905</v>
      </c>
      <c r="AK21" s="32" t="n">
        <f aca="false">TAN(RADIANS(45+AJ21/2))^2</f>
        <v>2.61754453484014</v>
      </c>
      <c r="AL21" s="31" t="n">
        <f aca="false">EXP(PI()*TAN(RADIANS(AJ21)))*AK21</f>
        <v>12.5875049364171</v>
      </c>
      <c r="AM21" s="31" t="n">
        <f aca="false">(AL21-1)/TAN(RADIANS(AJ21))</f>
        <v>23.1798553189774</v>
      </c>
      <c r="AN21" s="31" t="n">
        <f aca="false">(AL21-1)*TAN(RADIANS(1.4*AJ21))</f>
        <v>8.79041196124977</v>
      </c>
      <c r="AO21" s="19" t="n">
        <f aca="false">F21/Entradas!$D$28*AM21*(1+0.2*AK21*Entradas!$C$22)*(1+0.2*SQRT(AK21)*Entradas!$C$18/D21)+J21*AL21*(1+0.1*AK21*Entradas!$C$22)*(1+0.1*SQRT(AK21)*Entradas!$C$18/D21)+0.5*I21*D21*AN21*(1+0.1*AK21*Entradas!$C$22)*(1+0.1*SQRT(AK21)*Entradas!$C$18/D21)</f>
        <v>1562.64677821921</v>
      </c>
      <c r="AP21" s="31" t="n">
        <f aca="false">DEGREES(ATAN(TAN(RADIANS(G21))/Entradas!$D$29))</f>
        <v>29.5993061539384</v>
      </c>
      <c r="AQ21" s="32" t="n">
        <f aca="false">TAN(RADIANS(45+AP21/2))^2</f>
        <v>2.95203288888275</v>
      </c>
      <c r="AR21" s="31" t="n">
        <f aca="false">EXP(PI()*TAN(RADIANS(AP21)))*AQ21</f>
        <v>17.5862393957792</v>
      </c>
      <c r="AS21" s="31" t="n">
        <f aca="false">(AR21-1)/TAN(RADIANS(AP21))</f>
        <v>29.197884773207</v>
      </c>
      <c r="AT21" s="31" t="n">
        <f aca="false">(AR21-1)*TAN(RADIANS(1.4*AP21))</f>
        <v>14.6428288011081</v>
      </c>
      <c r="AU21" s="19" t="n">
        <f aca="false">F21/Entradas!$D$29*AS21*(1+0.2*AQ21*Entradas!$C$22)*(1+0.2*SQRT(AQ21)*Entradas!$C$18/D21)+J21*AR21*(1+0.1*AQ21*Entradas!$C$22)*(1+0.1*SQRT(AQ21)*Entradas!$C$18/D21)+0.5*I21*D21*AT21*(1+0.1*AQ21*Entradas!$C$22)*(1+0.1*SQRT(AQ21)*Entradas!$C$18/D21)</f>
        <v>2355.41537412328</v>
      </c>
    </row>
    <row r="22" customFormat="false" ht="15" hidden="false" customHeight="false" outlineLevel="0" collapsed="false">
      <c r="A22" s="13" t="s">
        <v>62</v>
      </c>
      <c r="B22" s="18" t="s">
        <v>47</v>
      </c>
      <c r="C22" s="18" t="s">
        <v>44</v>
      </c>
      <c r="D22" s="29" t="n">
        <v>3</v>
      </c>
      <c r="E22" s="30" t="s">
        <v>162</v>
      </c>
      <c r="F22" s="21" t="n">
        <f aca="false">Entradas!G5</f>
        <v>29</v>
      </c>
      <c r="G22" s="21" t="n">
        <f aca="false">Entradas!G6</f>
        <v>32</v>
      </c>
      <c r="H22" s="21" t="n">
        <f aca="false">Entradas!G7</f>
        <v>18</v>
      </c>
      <c r="I22" s="31" t="n">
        <f aca="false">IF(E22="NF en la base",H22-Entradas!$C$19,H22)</f>
        <v>18</v>
      </c>
      <c r="J22" s="15" t="n">
        <f aca="false">H22*Entradas!$C$18</f>
        <v>27</v>
      </c>
      <c r="K22" s="32" t="n">
        <f aca="false">TAN(RADIANS(45+G22/2))^2</f>
        <v>3.25458830329986</v>
      </c>
      <c r="L22" s="31" t="n">
        <f aca="false">EXP(PI()*TAN(RADIANS(G22)))*K22</f>
        <v>23.1767762070126</v>
      </c>
      <c r="M22" s="31" t="n">
        <f aca="false">(L22-1)/TAN(RADIANS(G22))</f>
        <v>35.4902607068983</v>
      </c>
      <c r="N22" s="31" t="n">
        <f aca="false">(L22-1)*TAN(RADIANS(1.4*G22))</f>
        <v>22.0224910323137</v>
      </c>
      <c r="O22" s="32" t="n">
        <f aca="false">1+0.2*K22*Entradas!$C$22</f>
        <v>1.65091766065997</v>
      </c>
      <c r="P22" s="32" t="n">
        <f aca="false">1+0.1*K22*Entradas!$C$22</f>
        <v>1.32545883032999</v>
      </c>
      <c r="Q22" s="32" t="n">
        <f aca="false">1+0.2*SQRT(K22)*Entradas!$C$18/D22</f>
        <v>1.18040477552714</v>
      </c>
      <c r="R22" s="32" t="n">
        <f aca="false">1+0.1*SQRT(K22)*Entradas!$C$18/D22</f>
        <v>1.09020238776357</v>
      </c>
      <c r="S22" s="19" t="n">
        <f aca="false">F22*M22*O22*Q22+J22*L22*P22*R22+0.5*I22*D22*N22*P22*R22</f>
        <v>3769.16068755076</v>
      </c>
      <c r="T22" s="19" t="n">
        <f aca="false">S22/Entradas!$C$27</f>
        <v>1256.38689585025</v>
      </c>
      <c r="U22" s="19" t="n">
        <f aca="false">AI22</f>
        <v>1023.69127522288</v>
      </c>
      <c r="V22" s="19" t="n">
        <f aca="false">MIN(T22,U22)</f>
        <v>1023.69127522288</v>
      </c>
      <c r="W22" s="33" t="n">
        <f aca="false">Entradas!G8</f>
        <v>19152</v>
      </c>
      <c r="X22" s="19" t="n">
        <f aca="false">Entradas!$C$20*W22/(Entradas!$C$21*D22*(1-Entradas!G9^2))+J22</f>
        <v>207.913613749435</v>
      </c>
      <c r="Y22" s="16" t="n">
        <f aca="false">MIN(V22,X22)</f>
        <v>207.913613749435</v>
      </c>
      <c r="Z22" s="18" t="str">
        <f aca="false">IF(X22&lt;V22,"Asentamiento",IF(T22&lt;=U22,"Falla (FSICP)","Falla (FSB directo)"))</f>
        <v>Asentamiento</v>
      </c>
      <c r="AA22" s="19" t="n">
        <f aca="false">MIN(S22/Entradas!$C$28,AO22)</f>
        <v>1507.6642750203</v>
      </c>
      <c r="AB22" s="19" t="n">
        <f aca="false">MIN(S22/Entradas!$C$29,AU22)</f>
        <v>2512.77379170051</v>
      </c>
      <c r="AD22" s="31" t="n">
        <f aca="false">DEGREES(ATAN(TAN(RADIANS(G22))/Entradas!$D$27))</f>
        <v>22.615612650385</v>
      </c>
      <c r="AE22" s="32" t="n">
        <f aca="false">TAN(RADIANS(45+AD22/2))^2</f>
        <v>2.24963822878097</v>
      </c>
      <c r="AF22" s="31" t="n">
        <f aca="false">EXP(PI()*TAN(RADIANS(AD22)))*AE22</f>
        <v>8.32691239293527</v>
      </c>
      <c r="AG22" s="31" t="n">
        <f aca="false">(AF22-1)/TAN(RADIANS(AD22))</f>
        <v>17.5882663405097</v>
      </c>
      <c r="AH22" s="31" t="n">
        <f aca="false">(AF22-1)*TAN(RADIANS(1.4*AD22))</f>
        <v>4.51845797105384</v>
      </c>
      <c r="AI22" s="19" t="n">
        <f aca="false">F22/Entradas!$D$27*AG22*(1+0.2*AE22*Entradas!$C$22)*(1+0.2*SQRT(AE22)*Entradas!$C$18/D22)+J22*AF22*(1+0.1*AE22*Entradas!$C$22)*(1+0.1*SQRT(AE22)*Entradas!$C$18/D22)+0.5*I22*D22*AH22*(1+0.1*AE22*Entradas!$C$22)*(1+0.1*SQRT(AE22)*Entradas!$C$18/D22)</f>
        <v>1023.69127522288</v>
      </c>
      <c r="AJ22" s="31" t="n">
        <f aca="false">DEGREES(ATAN(TAN(RADIANS(G22))/Entradas!$D$28))</f>
        <v>26.560260202905</v>
      </c>
      <c r="AK22" s="32" t="n">
        <f aca="false">TAN(RADIANS(45+AJ22/2))^2</f>
        <v>2.61754453484014</v>
      </c>
      <c r="AL22" s="31" t="n">
        <f aca="false">EXP(PI()*TAN(RADIANS(AJ22)))*AK22</f>
        <v>12.5875049364171</v>
      </c>
      <c r="AM22" s="31" t="n">
        <f aca="false">(AL22-1)/TAN(RADIANS(AJ22))</f>
        <v>23.1798553189774</v>
      </c>
      <c r="AN22" s="31" t="n">
        <f aca="false">(AL22-1)*TAN(RADIANS(1.4*AJ22))</f>
        <v>8.79041196124977</v>
      </c>
      <c r="AO22" s="19" t="n">
        <f aca="false">F22/Entradas!$D$28*AM22*(1+0.2*AK22*Entradas!$C$22)*(1+0.2*SQRT(AK22)*Entradas!$C$18/D22)+J22*AL22*(1+0.1*AK22*Entradas!$C$22)*(1+0.1*SQRT(AK22)*Entradas!$C$18/D22)+0.5*I22*D22*AN22*(1+0.1*AK22*Entradas!$C$22)*(1+0.1*SQRT(AK22)*Entradas!$C$18/D22)</f>
        <v>1739.05852587407</v>
      </c>
      <c r="AP22" s="31" t="n">
        <f aca="false">DEGREES(ATAN(TAN(RADIANS(G22))/Entradas!$D$29))</f>
        <v>29.5993061539384</v>
      </c>
      <c r="AQ22" s="32" t="n">
        <f aca="false">TAN(RADIANS(45+AP22/2))^2</f>
        <v>2.95203288888275</v>
      </c>
      <c r="AR22" s="31" t="n">
        <f aca="false">EXP(PI()*TAN(RADIANS(AP22)))*AQ22</f>
        <v>17.5862393957792</v>
      </c>
      <c r="AS22" s="31" t="n">
        <f aca="false">(AR22-1)/TAN(RADIANS(AP22))</f>
        <v>29.197884773207</v>
      </c>
      <c r="AT22" s="31" t="n">
        <f aca="false">(AR22-1)*TAN(RADIANS(1.4*AP22))</f>
        <v>14.6428288011081</v>
      </c>
      <c r="AU22" s="19" t="n">
        <f aca="false">F22/Entradas!$D$29*AS22*(1+0.2*AQ22*Entradas!$C$22)*(1+0.2*SQRT(AQ22)*Entradas!$C$18/D22)+J22*AR22*(1+0.1*AQ22*Entradas!$C$22)*(1+0.1*SQRT(AQ22)*Entradas!$C$18/D22)+0.5*I22*D22*AT22*(1+0.1*AQ22*Entradas!$C$22)*(1+0.1*SQRT(AQ22)*Entradas!$C$18/D22)</f>
        <v>2658.46655763486</v>
      </c>
    </row>
    <row r="23" customFormat="false" ht="15" hidden="false" customHeight="false" outlineLevel="0" collapsed="false">
      <c r="A23" s="13" t="s">
        <v>80</v>
      </c>
      <c r="B23" s="18" t="s">
        <v>49</v>
      </c>
      <c r="C23" s="18" t="s">
        <v>41</v>
      </c>
      <c r="D23" s="29" t="n">
        <v>1.5</v>
      </c>
      <c r="E23" s="30" t="s">
        <v>161</v>
      </c>
      <c r="F23" s="21" t="n">
        <f aca="false">Entradas!E10</f>
        <v>15</v>
      </c>
      <c r="G23" s="21" t="n">
        <f aca="false">Entradas!E11</f>
        <v>23</v>
      </c>
      <c r="H23" s="21" t="n">
        <f aca="false">Entradas!E12</f>
        <v>11.9</v>
      </c>
      <c r="I23" s="31" t="n">
        <f aca="false">IF(E23="NF en la base",H23-Entradas!$C$19,H23)</f>
        <v>2.09</v>
      </c>
      <c r="J23" s="15" t="n">
        <f aca="false">H23*Entradas!$C$18</f>
        <v>17.85</v>
      </c>
      <c r="K23" s="32" t="n">
        <f aca="false">TAN(RADIANS(45+G23/2))^2</f>
        <v>2.28262298226537</v>
      </c>
      <c r="L23" s="31" t="n">
        <f aca="false">EXP(PI()*TAN(RADIANS(G23)))*K23</f>
        <v>8.66119043526913</v>
      </c>
      <c r="M23" s="31" t="n">
        <f aca="false">(L23-1)/TAN(RADIANS(G23))</f>
        <v>18.0486336119551</v>
      </c>
      <c r="N23" s="31" t="n">
        <f aca="false">(L23-1)*TAN(RADIANS(1.4*G23))</f>
        <v>4.82450909890647</v>
      </c>
      <c r="O23" s="32" t="n">
        <f aca="false">1+0.2*K23*Entradas!$C$22</f>
        <v>1.45652459645307</v>
      </c>
      <c r="P23" s="32" t="n">
        <f aca="false">1+0.1*K23*Entradas!$C$22</f>
        <v>1.22826229822654</v>
      </c>
      <c r="Q23" s="32" t="n">
        <f aca="false">1+0.2*SQRT(K23)*Entradas!$C$18/D23</f>
        <v>1.30216703872298</v>
      </c>
      <c r="R23" s="32" t="n">
        <f aca="false">1+0.1*SQRT(K23)*Entradas!$C$18/D23</f>
        <v>1.15108351936149</v>
      </c>
      <c r="S23" s="19" t="n">
        <f aca="false">F23*M23*O23*Q23+J23*L23*P23*R23+0.5*I23*D23*N23*P23*R23</f>
        <v>742.749627302802</v>
      </c>
      <c r="T23" s="19" t="n">
        <f aca="false">S23/Entradas!$C$27</f>
        <v>247.583209100934</v>
      </c>
      <c r="U23" s="19" t="n">
        <f aca="false">AI23</f>
        <v>299.941827540506</v>
      </c>
      <c r="V23" s="19" t="n">
        <f aca="false">MIN(T23,U23)</f>
        <v>247.583209100934</v>
      </c>
      <c r="W23" s="33" t="n">
        <f aca="false">Entradas!E13</f>
        <v>2394</v>
      </c>
      <c r="X23" s="19" t="n">
        <f aca="false">Entradas!$C$20*W23/(Entradas!$C$21*D23*(1-Entradas!E14^2))+J23</f>
        <v>68.3867151135176</v>
      </c>
      <c r="Y23" s="16" t="n">
        <f aca="false">MIN(V23,X23)</f>
        <v>68.3867151135176</v>
      </c>
      <c r="Z23" s="18" t="str">
        <f aca="false">IF(X23&lt;V23,"Asentamiento",IF(T23&lt;=U23,"Falla (FSICP)","Falla (FSB directo)"))</f>
        <v>Asentamiento</v>
      </c>
      <c r="AA23" s="19" t="n">
        <f aca="false">MIN(S23/Entradas!$C$28,AO23)</f>
        <v>297.099850921121</v>
      </c>
      <c r="AB23" s="19" t="n">
        <f aca="false">MIN(S23/Entradas!$C$29,AU23)</f>
        <v>495.166418201868</v>
      </c>
      <c r="AD23" s="31" t="n">
        <f aca="false">DEGREES(ATAN(TAN(RADIANS(G23))/Entradas!$D$27))</f>
        <v>15.8006224419719</v>
      </c>
      <c r="AE23" s="32" t="n">
        <f aca="false">TAN(RADIANS(45+AD23/2))^2</f>
        <v>1.74835020061844</v>
      </c>
      <c r="AF23" s="31" t="n">
        <f aca="false">EXP(PI()*TAN(RADIANS(AD23)))*AE23</f>
        <v>4.25328053992906</v>
      </c>
      <c r="AG23" s="31" t="n">
        <f aca="false">(AF23-1)/TAN(RADIANS(AD23))</f>
        <v>11.4963729850204</v>
      </c>
      <c r="AH23" s="31" t="n">
        <f aca="false">(AF23-1)*TAN(RADIANS(1.4*AD23))</f>
        <v>1.32240093354325</v>
      </c>
      <c r="AI23" s="19" t="n">
        <f aca="false">F23/Entradas!$D$27*AG23*(1+0.2*AE23*Entradas!$C$22)*(1+0.2*SQRT(AE23)*Entradas!$C$18/D23)+J23*AF23*(1+0.1*AE23*Entradas!$C$22)*(1+0.1*SQRT(AE23)*Entradas!$C$18/D23)+0.5*I23*D23*AH23*(1+0.1*AE23*Entradas!$C$22)*(1+0.1*SQRT(AE23)*Entradas!$C$18/D23)</f>
        <v>299.941827540506</v>
      </c>
      <c r="AJ23" s="31" t="n">
        <f aca="false">DEGREES(ATAN(TAN(RADIANS(G23))/Entradas!$D$28))</f>
        <v>18.7564522494892</v>
      </c>
      <c r="AK23" s="32" t="n">
        <f aca="false">TAN(RADIANS(45+AJ23/2))^2</f>
        <v>1.94787899328278</v>
      </c>
      <c r="AL23" s="31" t="n">
        <f aca="false">EXP(PI()*TAN(RADIANS(AJ23)))*AK23</f>
        <v>5.66078545889507</v>
      </c>
      <c r="AM23" s="31" t="n">
        <f aca="false">(AL23-1)/TAN(RADIANS(AJ23))</f>
        <v>13.7251530624186</v>
      </c>
      <c r="AN23" s="31" t="n">
        <f aca="false">(AL23-1)*TAN(RADIANS(1.4*AJ23))</f>
        <v>2.29935861330232</v>
      </c>
      <c r="AO23" s="19" t="n">
        <f aca="false">F23/Entradas!$D$28*AM23*(1+0.2*AK23*Entradas!$C$22)*(1+0.2*SQRT(AK23)*Entradas!$C$18/D23)+J23*AL23*(1+0.1*AK23*Entradas!$C$22)*(1+0.1*SQRT(AK23)*Entradas!$C$18/D23)+0.5*I23*D23*AN23*(1+0.1*AK23*Entradas!$C$22)*(1+0.1*SQRT(AK23)*Entradas!$C$18/D23)</f>
        <v>435.233802467049</v>
      </c>
      <c r="AP23" s="31" t="n">
        <f aca="false">DEGREES(ATAN(TAN(RADIANS(G23))/Entradas!$D$29))</f>
        <v>21.1009131539532</v>
      </c>
      <c r="AQ23" s="32" t="n">
        <f aca="false">TAN(RADIANS(45+AP23/2))^2</f>
        <v>2.125057017942</v>
      </c>
      <c r="AR23" s="31" t="n">
        <f aca="false">EXP(PI()*TAN(RADIANS(AP23)))*AQ23</f>
        <v>7.14273584269154</v>
      </c>
      <c r="AS23" s="31" t="n">
        <f aca="false">(AR23-1)/TAN(RADIANS(AP23))</f>
        <v>15.9185166443987</v>
      </c>
      <c r="AT23" s="31" t="n">
        <f aca="false">(AR23-1)*TAN(RADIANS(1.4*AP23))</f>
        <v>3.48123720245678</v>
      </c>
      <c r="AU23" s="19" t="n">
        <f aca="false">F23/Entradas!$D$29*AS23*(1+0.2*AQ23*Entradas!$C$22)*(1+0.2*SQRT(AQ23)*Entradas!$C$18/D23)+J23*AR23*(1+0.1*AQ23*Entradas!$C$22)*(1+0.1*SQRT(AQ23)*Entradas!$C$18/D23)+0.5*I23*D23*AT23*(1+0.1*AQ23*Entradas!$C$22)*(1+0.1*SQRT(AQ23)*Entradas!$C$18/D23)</f>
        <v>584.221859958469</v>
      </c>
    </row>
    <row r="24" customFormat="false" ht="15" hidden="false" customHeight="false" outlineLevel="0" collapsed="false">
      <c r="A24" s="13" t="s">
        <v>80</v>
      </c>
      <c r="B24" s="18" t="s">
        <v>49</v>
      </c>
      <c r="C24" s="18" t="s">
        <v>41</v>
      </c>
      <c r="D24" s="29" t="n">
        <v>1.5</v>
      </c>
      <c r="E24" s="30" t="s">
        <v>162</v>
      </c>
      <c r="F24" s="21" t="n">
        <f aca="false">Entradas!E10</f>
        <v>15</v>
      </c>
      <c r="G24" s="21" t="n">
        <f aca="false">Entradas!E11</f>
        <v>23</v>
      </c>
      <c r="H24" s="21" t="n">
        <f aca="false">Entradas!E12</f>
        <v>11.9</v>
      </c>
      <c r="I24" s="31" t="n">
        <f aca="false">IF(E24="NF en la base",H24-Entradas!$C$19,H24)</f>
        <v>11.9</v>
      </c>
      <c r="J24" s="15" t="n">
        <f aca="false">H24*Entradas!$C$18</f>
        <v>17.85</v>
      </c>
      <c r="K24" s="32" t="n">
        <f aca="false">TAN(RADIANS(45+G24/2))^2</f>
        <v>2.28262298226537</v>
      </c>
      <c r="L24" s="31" t="n">
        <f aca="false">EXP(PI()*TAN(RADIANS(G24)))*K24</f>
        <v>8.66119043526913</v>
      </c>
      <c r="M24" s="31" t="n">
        <f aca="false">(L24-1)/TAN(RADIANS(G24))</f>
        <v>18.0486336119551</v>
      </c>
      <c r="N24" s="31" t="n">
        <f aca="false">(L24-1)*TAN(RADIANS(1.4*G24))</f>
        <v>4.82450909890647</v>
      </c>
      <c r="O24" s="32" t="n">
        <f aca="false">1+0.2*K24*Entradas!$C$22</f>
        <v>1.45652459645307</v>
      </c>
      <c r="P24" s="32" t="n">
        <f aca="false">1+0.1*K24*Entradas!$C$22</f>
        <v>1.22826229822654</v>
      </c>
      <c r="Q24" s="32" t="n">
        <f aca="false">1+0.2*SQRT(K24)*Entradas!$C$18/D24</f>
        <v>1.30216703872298</v>
      </c>
      <c r="R24" s="32" t="n">
        <f aca="false">1+0.1*SQRT(K24)*Entradas!$C$18/D24</f>
        <v>1.15108351936149</v>
      </c>
      <c r="S24" s="19" t="n">
        <f aca="false">F24*M24*O24*Q24+J24*L24*P24*R24+0.5*I24*D24*N24*P24*R24</f>
        <v>792.935485808735</v>
      </c>
      <c r="T24" s="19" t="n">
        <f aca="false">S24/Entradas!$C$27</f>
        <v>264.311828602912</v>
      </c>
      <c r="U24" s="19" t="n">
        <f aca="false">AI24</f>
        <v>312.883878818443</v>
      </c>
      <c r="V24" s="19" t="n">
        <f aca="false">MIN(T24,U24)</f>
        <v>264.311828602912</v>
      </c>
      <c r="W24" s="33" t="n">
        <f aca="false">Entradas!E13</f>
        <v>2394</v>
      </c>
      <c r="X24" s="19" t="n">
        <f aca="false">Entradas!$C$20*W24/(Entradas!$C$21*D24*(1-Entradas!E14^2))+J24</f>
        <v>68.3867151135176</v>
      </c>
      <c r="Y24" s="16" t="n">
        <f aca="false">MIN(V24,X24)</f>
        <v>68.3867151135176</v>
      </c>
      <c r="Z24" s="18" t="str">
        <f aca="false">IF(X24&lt;V24,"Asentamiento",IF(T24&lt;=U24,"Falla (FSICP)","Falla (FSB directo)"))</f>
        <v>Asentamiento</v>
      </c>
      <c r="AA24" s="19" t="n">
        <f aca="false">MIN(S24/Entradas!$C$28,AO24)</f>
        <v>317.174194323494</v>
      </c>
      <c r="AB24" s="19" t="n">
        <f aca="false">MIN(S24/Entradas!$C$29,AU24)</f>
        <v>528.623657205823</v>
      </c>
      <c r="AD24" s="31" t="n">
        <f aca="false">DEGREES(ATAN(TAN(RADIANS(G24))/Entradas!$D$27))</f>
        <v>15.8006224419719</v>
      </c>
      <c r="AE24" s="32" t="n">
        <f aca="false">TAN(RADIANS(45+AD24/2))^2</f>
        <v>1.74835020061844</v>
      </c>
      <c r="AF24" s="31" t="n">
        <f aca="false">EXP(PI()*TAN(RADIANS(AD24)))*AE24</f>
        <v>4.25328053992906</v>
      </c>
      <c r="AG24" s="31" t="n">
        <f aca="false">(AF24-1)/TAN(RADIANS(AD24))</f>
        <v>11.4963729850204</v>
      </c>
      <c r="AH24" s="31" t="n">
        <f aca="false">(AF24-1)*TAN(RADIANS(1.4*AD24))</f>
        <v>1.32240093354325</v>
      </c>
      <c r="AI24" s="19" t="n">
        <f aca="false">F24/Entradas!$D$27*AG24*(1+0.2*AE24*Entradas!$C$22)*(1+0.2*SQRT(AE24)*Entradas!$C$18/D24)+J24*AF24*(1+0.1*AE24*Entradas!$C$22)*(1+0.1*SQRT(AE24)*Entradas!$C$18/D24)+0.5*I24*D24*AH24*(1+0.1*AE24*Entradas!$C$22)*(1+0.1*SQRT(AE24)*Entradas!$C$18/D24)</f>
        <v>312.883878818443</v>
      </c>
      <c r="AJ24" s="31" t="n">
        <f aca="false">DEGREES(ATAN(TAN(RADIANS(G24))/Entradas!$D$28))</f>
        <v>18.7564522494892</v>
      </c>
      <c r="AK24" s="32" t="n">
        <f aca="false">TAN(RADIANS(45+AJ24/2))^2</f>
        <v>1.94787899328278</v>
      </c>
      <c r="AL24" s="31" t="n">
        <f aca="false">EXP(PI()*TAN(RADIANS(AJ24)))*AK24</f>
        <v>5.66078545889507</v>
      </c>
      <c r="AM24" s="31" t="n">
        <f aca="false">(AL24-1)/TAN(RADIANS(AJ24))</f>
        <v>13.7251530624186</v>
      </c>
      <c r="AN24" s="31" t="n">
        <f aca="false">(AL24-1)*TAN(RADIANS(1.4*AJ24))</f>
        <v>2.29935861330232</v>
      </c>
      <c r="AO24" s="19" t="n">
        <f aca="false">F24/Entradas!$D$28*AM24*(1+0.2*AK24*Entradas!$C$22)*(1+0.2*SQRT(AK24)*Entradas!$C$18/D24)+J24*AL24*(1+0.1*AK24*Entradas!$C$22)*(1+0.1*SQRT(AK24)*Entradas!$C$18/D24)+0.5*I24*D24*AN24*(1+0.1*AK24*Entradas!$C$22)*(1+0.1*SQRT(AK24)*Entradas!$C$18/D24)</f>
        <v>458.267700796273</v>
      </c>
      <c r="AP24" s="31" t="n">
        <f aca="false">DEGREES(ATAN(TAN(RADIANS(G24))/Entradas!$D$29))</f>
        <v>21.1009131539532</v>
      </c>
      <c r="AQ24" s="32" t="n">
        <f aca="false">TAN(RADIANS(45+AP24/2))^2</f>
        <v>2.125057017942</v>
      </c>
      <c r="AR24" s="31" t="n">
        <f aca="false">EXP(PI()*TAN(RADIANS(AP24)))*AQ24</f>
        <v>7.14273584269154</v>
      </c>
      <c r="AS24" s="31" t="n">
        <f aca="false">(AR24-1)/TAN(RADIANS(AP24))</f>
        <v>15.9185166443987</v>
      </c>
      <c r="AT24" s="31" t="n">
        <f aca="false">(AR24-1)*TAN(RADIANS(1.4*AP24))</f>
        <v>3.48123720245678</v>
      </c>
      <c r="AU24" s="19" t="n">
        <f aca="false">F24/Entradas!$D$29*AS24*(1+0.2*AQ24*Entradas!$C$22)*(1+0.2*SQRT(AQ24)*Entradas!$C$18/D24)+J24*AR24*(1+0.1*AQ24*Entradas!$C$22)*(1+0.1*SQRT(AQ24)*Entradas!$C$18/D24)+0.5*I24*D24*AT24*(1+0.1*AQ24*Entradas!$C$22)*(1+0.1*SQRT(AQ24)*Entradas!$C$18/D24)</f>
        <v>619.805248579479</v>
      </c>
    </row>
    <row r="25" customFormat="false" ht="15" hidden="false" customHeight="false" outlineLevel="0" collapsed="false">
      <c r="A25" s="13" t="s">
        <v>80</v>
      </c>
      <c r="B25" s="18" t="s">
        <v>49</v>
      </c>
      <c r="C25" s="18" t="s">
        <v>41</v>
      </c>
      <c r="D25" s="29" t="n">
        <v>2</v>
      </c>
      <c r="E25" s="30" t="s">
        <v>161</v>
      </c>
      <c r="F25" s="21" t="n">
        <f aca="false">Entradas!E10</f>
        <v>15</v>
      </c>
      <c r="G25" s="21" t="n">
        <f aca="false">Entradas!E11</f>
        <v>23</v>
      </c>
      <c r="H25" s="21" t="n">
        <f aca="false">Entradas!E12</f>
        <v>11.9</v>
      </c>
      <c r="I25" s="31" t="n">
        <f aca="false">IF(E25="NF en la base",H25-Entradas!$C$19,H25)</f>
        <v>2.09</v>
      </c>
      <c r="J25" s="15" t="n">
        <f aca="false">H25*Entradas!$C$18</f>
        <v>17.85</v>
      </c>
      <c r="K25" s="32" t="n">
        <f aca="false">TAN(RADIANS(45+G25/2))^2</f>
        <v>2.28262298226537</v>
      </c>
      <c r="L25" s="31" t="n">
        <f aca="false">EXP(PI()*TAN(RADIANS(G25)))*K25</f>
        <v>8.66119043526913</v>
      </c>
      <c r="M25" s="31" t="n">
        <f aca="false">(L25-1)/TAN(RADIANS(G25))</f>
        <v>18.0486336119551</v>
      </c>
      <c r="N25" s="31" t="n">
        <f aca="false">(L25-1)*TAN(RADIANS(1.4*G25))</f>
        <v>4.82450909890647</v>
      </c>
      <c r="O25" s="32" t="n">
        <f aca="false">1+0.2*K25*Entradas!$C$22</f>
        <v>1.45652459645307</v>
      </c>
      <c r="P25" s="32" t="n">
        <f aca="false">1+0.1*K25*Entradas!$C$22</f>
        <v>1.22826229822654</v>
      </c>
      <c r="Q25" s="32" t="n">
        <f aca="false">1+0.2*SQRT(K25)*Entradas!$C$18/D25</f>
        <v>1.22662527904224</v>
      </c>
      <c r="R25" s="32" t="n">
        <f aca="false">1+0.1*SQRT(K25)*Entradas!$C$18/D25</f>
        <v>1.11331263952112</v>
      </c>
      <c r="S25" s="19" t="n">
        <f aca="false">F25*M25*O25*Q25+J25*L25*P25*R25+0.5*I25*D25*N25*P25*R25</f>
        <v>708.885503478834</v>
      </c>
      <c r="T25" s="19" t="n">
        <f aca="false">S25/Entradas!$C$27</f>
        <v>236.295167826278</v>
      </c>
      <c r="U25" s="19" t="n">
        <f aca="false">AI25</f>
        <v>287.546902217973</v>
      </c>
      <c r="V25" s="19" t="n">
        <f aca="false">MIN(T25,U25)</f>
        <v>236.295167826278</v>
      </c>
      <c r="W25" s="33" t="n">
        <f aca="false">Entradas!E13</f>
        <v>2394</v>
      </c>
      <c r="X25" s="19" t="n">
        <f aca="false">Entradas!$C$20*W25/(Entradas!$C$21*D25*(1-Entradas!E14^2))+J25</f>
        <v>55.7525363351382</v>
      </c>
      <c r="Y25" s="16" t="n">
        <f aca="false">MIN(V25,X25)</f>
        <v>55.7525363351382</v>
      </c>
      <c r="Z25" s="18" t="str">
        <f aca="false">IF(X25&lt;V25,"Asentamiento",IF(T25&lt;=U25,"Falla (FSICP)","Falla (FSB directo)"))</f>
        <v>Asentamiento</v>
      </c>
      <c r="AA25" s="19" t="n">
        <f aca="false">MIN(S25/Entradas!$C$28,AO25)</f>
        <v>283.554201391534</v>
      </c>
      <c r="AB25" s="19" t="n">
        <f aca="false">MIN(S25/Entradas!$C$29,AU25)</f>
        <v>472.590335652556</v>
      </c>
      <c r="AD25" s="31" t="n">
        <f aca="false">DEGREES(ATAN(TAN(RADIANS(G25))/Entradas!$D$27))</f>
        <v>15.8006224419719</v>
      </c>
      <c r="AE25" s="32" t="n">
        <f aca="false">TAN(RADIANS(45+AD25/2))^2</f>
        <v>1.74835020061844</v>
      </c>
      <c r="AF25" s="31" t="n">
        <f aca="false">EXP(PI()*TAN(RADIANS(AD25)))*AE25</f>
        <v>4.25328053992906</v>
      </c>
      <c r="AG25" s="31" t="n">
        <f aca="false">(AF25-1)/TAN(RADIANS(AD25))</f>
        <v>11.4963729850204</v>
      </c>
      <c r="AH25" s="31" t="n">
        <f aca="false">(AF25-1)*TAN(RADIANS(1.4*AD25))</f>
        <v>1.32240093354325</v>
      </c>
      <c r="AI25" s="19" t="n">
        <f aca="false">F25/Entradas!$D$27*AG25*(1+0.2*AE25*Entradas!$C$22)*(1+0.2*SQRT(AE25)*Entradas!$C$18/D25)+J25*AF25*(1+0.1*AE25*Entradas!$C$22)*(1+0.1*SQRT(AE25)*Entradas!$C$18/D25)+0.5*I25*D25*AH25*(1+0.1*AE25*Entradas!$C$22)*(1+0.1*SQRT(AE25)*Entradas!$C$18/D25)</f>
        <v>287.546902217973</v>
      </c>
      <c r="AJ25" s="31" t="n">
        <f aca="false">DEGREES(ATAN(TAN(RADIANS(G25))/Entradas!$D$28))</f>
        <v>18.7564522494892</v>
      </c>
      <c r="AK25" s="32" t="n">
        <f aca="false">TAN(RADIANS(45+AJ25/2))^2</f>
        <v>1.94787899328278</v>
      </c>
      <c r="AL25" s="31" t="n">
        <f aca="false">EXP(PI()*TAN(RADIANS(AJ25)))*AK25</f>
        <v>5.66078545889507</v>
      </c>
      <c r="AM25" s="31" t="n">
        <f aca="false">(AL25-1)/TAN(RADIANS(AJ25))</f>
        <v>13.7251530624186</v>
      </c>
      <c r="AN25" s="31" t="n">
        <f aca="false">(AL25-1)*TAN(RADIANS(1.4*AJ25))</f>
        <v>2.29935861330232</v>
      </c>
      <c r="AO25" s="19" t="n">
        <f aca="false">F25/Entradas!$D$28*AM25*(1+0.2*AK25*Entradas!$C$22)*(1+0.2*SQRT(AK25)*Entradas!$C$18/D25)+J25*AL25*(1+0.1*AK25*Entradas!$C$22)*(1+0.1*SQRT(AK25)*Entradas!$C$18/D25)+0.5*I25*D25*AN25*(1+0.1*AK25*Entradas!$C$22)*(1+0.1*SQRT(AK25)*Entradas!$C$18/D25)</f>
        <v>416.485882294635</v>
      </c>
      <c r="AP25" s="31" t="n">
        <f aca="false">DEGREES(ATAN(TAN(RADIANS(G25))/Entradas!$D$29))</f>
        <v>21.1009131539532</v>
      </c>
      <c r="AQ25" s="32" t="n">
        <f aca="false">TAN(RADIANS(45+AP25/2))^2</f>
        <v>2.125057017942</v>
      </c>
      <c r="AR25" s="31" t="n">
        <f aca="false">EXP(PI()*TAN(RADIANS(AP25)))*AQ25</f>
        <v>7.14273584269154</v>
      </c>
      <c r="AS25" s="31" t="n">
        <f aca="false">(AR25-1)/TAN(RADIANS(AP25))</f>
        <v>15.9185166443987</v>
      </c>
      <c r="AT25" s="31" t="n">
        <f aca="false">(AR25-1)*TAN(RADIANS(1.4*AP25))</f>
        <v>3.48123720245678</v>
      </c>
      <c r="AU25" s="19" t="n">
        <f aca="false">F25/Entradas!$D$29*AS25*(1+0.2*AQ25*Entradas!$C$22)*(1+0.2*SQRT(AQ25)*Entradas!$C$18/D25)+J25*AR25*(1+0.1*AQ25*Entradas!$C$22)*(1+0.1*SQRT(AQ25)*Entradas!$C$18/D25)+0.5*I25*D25*AT25*(1+0.1*AQ25*Entradas!$C$22)*(1+0.1*SQRT(AQ25)*Entradas!$C$18/D25)</f>
        <v>558.247131591934</v>
      </c>
    </row>
    <row r="26" customFormat="false" ht="15" hidden="false" customHeight="false" outlineLevel="0" collapsed="false">
      <c r="A26" s="13" t="s">
        <v>80</v>
      </c>
      <c r="B26" s="18" t="s">
        <v>49</v>
      </c>
      <c r="C26" s="18" t="s">
        <v>41</v>
      </c>
      <c r="D26" s="29" t="n">
        <v>2</v>
      </c>
      <c r="E26" s="30" t="s">
        <v>162</v>
      </c>
      <c r="F26" s="21" t="n">
        <f aca="false">Entradas!E10</f>
        <v>15</v>
      </c>
      <c r="G26" s="21" t="n">
        <f aca="false">Entradas!E11</f>
        <v>23</v>
      </c>
      <c r="H26" s="21" t="n">
        <f aca="false">Entradas!E12</f>
        <v>11.9</v>
      </c>
      <c r="I26" s="31" t="n">
        <f aca="false">IF(E26="NF en la base",H26-Entradas!$C$19,H26)</f>
        <v>11.9</v>
      </c>
      <c r="J26" s="15" t="n">
        <f aca="false">H26*Entradas!$C$18</f>
        <v>17.85</v>
      </c>
      <c r="K26" s="32" t="n">
        <f aca="false">TAN(RADIANS(45+G26/2))^2</f>
        <v>2.28262298226537</v>
      </c>
      <c r="L26" s="31" t="n">
        <f aca="false">EXP(PI()*TAN(RADIANS(G26)))*K26</f>
        <v>8.66119043526913</v>
      </c>
      <c r="M26" s="31" t="n">
        <f aca="false">(L26-1)/TAN(RADIANS(G26))</f>
        <v>18.0486336119551</v>
      </c>
      <c r="N26" s="31" t="n">
        <f aca="false">(L26-1)*TAN(RADIANS(1.4*G26))</f>
        <v>4.82450909890647</v>
      </c>
      <c r="O26" s="32" t="n">
        <f aca="false">1+0.2*K26*Entradas!$C$22</f>
        <v>1.45652459645307</v>
      </c>
      <c r="P26" s="32" t="n">
        <f aca="false">1+0.1*K26*Entradas!$C$22</f>
        <v>1.22826229822654</v>
      </c>
      <c r="Q26" s="32" t="n">
        <f aca="false">1+0.2*SQRT(K26)*Entradas!$C$18/D26</f>
        <v>1.22662527904224</v>
      </c>
      <c r="R26" s="32" t="n">
        <f aca="false">1+0.1*SQRT(K26)*Entradas!$C$18/D26</f>
        <v>1.11331263952112</v>
      </c>
      <c r="S26" s="19" t="n">
        <f aca="false">F26*M26*O26*Q26+J26*L26*P26*R26+0.5*I26*D26*N26*P26*R26</f>
        <v>773.604294843765</v>
      </c>
      <c r="T26" s="19" t="n">
        <f aca="false">S26/Entradas!$C$27</f>
        <v>257.868098281255</v>
      </c>
      <c r="U26" s="19" t="n">
        <f aca="false">AI26</f>
        <v>304.299164675086</v>
      </c>
      <c r="V26" s="19" t="n">
        <f aca="false">MIN(T26,U26)</f>
        <v>257.868098281255</v>
      </c>
      <c r="W26" s="33" t="n">
        <f aca="false">Entradas!E13</f>
        <v>2394</v>
      </c>
      <c r="X26" s="19" t="n">
        <f aca="false">Entradas!$C$20*W26/(Entradas!$C$21*D26*(1-Entradas!E14^2))+J26</f>
        <v>55.7525363351382</v>
      </c>
      <c r="Y26" s="16" t="n">
        <f aca="false">MIN(V26,X26)</f>
        <v>55.7525363351382</v>
      </c>
      <c r="Z26" s="18" t="str">
        <f aca="false">IF(X26&lt;V26,"Asentamiento",IF(T26&lt;=U26,"Falla (FSICP)","Falla (FSB directo)"))</f>
        <v>Asentamiento</v>
      </c>
      <c r="AA26" s="19" t="n">
        <f aca="false">MIN(S26/Entradas!$C$28,AO26)</f>
        <v>309.441717937506</v>
      </c>
      <c r="AB26" s="19" t="n">
        <f aca="false">MIN(S26/Entradas!$C$29,AU26)</f>
        <v>515.73619656251</v>
      </c>
      <c r="AD26" s="31" t="n">
        <f aca="false">DEGREES(ATAN(TAN(RADIANS(G26))/Entradas!$D$27))</f>
        <v>15.8006224419719</v>
      </c>
      <c r="AE26" s="32" t="n">
        <f aca="false">TAN(RADIANS(45+AD26/2))^2</f>
        <v>1.74835020061844</v>
      </c>
      <c r="AF26" s="31" t="n">
        <f aca="false">EXP(PI()*TAN(RADIANS(AD26)))*AE26</f>
        <v>4.25328053992906</v>
      </c>
      <c r="AG26" s="31" t="n">
        <f aca="false">(AF26-1)/TAN(RADIANS(AD26))</f>
        <v>11.4963729850204</v>
      </c>
      <c r="AH26" s="31" t="n">
        <f aca="false">(AF26-1)*TAN(RADIANS(1.4*AD26))</f>
        <v>1.32240093354325</v>
      </c>
      <c r="AI26" s="19" t="n">
        <f aca="false">F26/Entradas!$D$27*AG26*(1+0.2*AE26*Entradas!$C$22)*(1+0.2*SQRT(AE26)*Entradas!$C$18/D26)+J26*AF26*(1+0.1*AE26*Entradas!$C$22)*(1+0.1*SQRT(AE26)*Entradas!$C$18/D26)+0.5*I26*D26*AH26*(1+0.1*AE26*Entradas!$C$22)*(1+0.1*SQRT(AE26)*Entradas!$C$18/D26)</f>
        <v>304.299164675086</v>
      </c>
      <c r="AJ26" s="31" t="n">
        <f aca="false">DEGREES(ATAN(TAN(RADIANS(G26))/Entradas!$D$28))</f>
        <v>18.7564522494892</v>
      </c>
      <c r="AK26" s="32" t="n">
        <f aca="false">TAN(RADIANS(45+AJ26/2))^2</f>
        <v>1.94787899328278</v>
      </c>
      <c r="AL26" s="31" t="n">
        <f aca="false">EXP(PI()*TAN(RADIANS(AJ26)))*AK26</f>
        <v>5.66078545889507</v>
      </c>
      <c r="AM26" s="31" t="n">
        <f aca="false">(AL26-1)/TAN(RADIANS(AJ26))</f>
        <v>13.7251530624186</v>
      </c>
      <c r="AN26" s="31" t="n">
        <f aca="false">(AL26-1)*TAN(RADIANS(1.4*AJ26))</f>
        <v>2.29935861330232</v>
      </c>
      <c r="AO26" s="19" t="n">
        <f aca="false">F26/Entradas!$D$28*AM26*(1+0.2*AK26*Entradas!$C$22)*(1+0.2*SQRT(AK26)*Entradas!$C$18/D26)+J26*AL26*(1+0.1*AK26*Entradas!$C$22)*(1+0.1*SQRT(AK26)*Entradas!$C$18/D26)+0.5*I26*D26*AN26*(1+0.1*AK26*Entradas!$C$22)*(1+0.1*SQRT(AK26)*Entradas!$C$18/D26)</f>
        <v>446.257401064581</v>
      </c>
      <c r="AP26" s="31" t="n">
        <f aca="false">DEGREES(ATAN(TAN(RADIANS(G26))/Entradas!$D$29))</f>
        <v>21.1009131539532</v>
      </c>
      <c r="AQ26" s="32" t="n">
        <f aca="false">TAN(RADIANS(45+AP26/2))^2</f>
        <v>2.125057017942</v>
      </c>
      <c r="AR26" s="31" t="n">
        <f aca="false">EXP(PI()*TAN(RADIANS(AP26)))*AQ26</f>
        <v>7.14273584269154</v>
      </c>
      <c r="AS26" s="31" t="n">
        <f aca="false">(AR26-1)/TAN(RADIANS(AP26))</f>
        <v>15.9185166443987</v>
      </c>
      <c r="AT26" s="31" t="n">
        <f aca="false">(AR26-1)*TAN(RADIANS(1.4*AP26))</f>
        <v>3.48123720245678</v>
      </c>
      <c r="AU26" s="19" t="n">
        <f aca="false">F26/Entradas!$D$29*AS26*(1+0.2*AQ26*Entradas!$C$22)*(1+0.2*SQRT(AQ26)*Entradas!$C$18/D26)+J26*AR26*(1+0.1*AQ26*Entradas!$C$22)*(1+0.1*SQRT(AQ26)*Entradas!$C$18/D26)+0.5*I26*D26*AT26*(1+0.1*AQ26*Entradas!$C$22)*(1+0.1*SQRT(AQ26)*Entradas!$C$18/D26)</f>
        <v>604.182571658165</v>
      </c>
    </row>
    <row r="27" customFormat="false" ht="15" hidden="false" customHeight="false" outlineLevel="0" collapsed="false">
      <c r="A27" s="13" t="s">
        <v>80</v>
      </c>
      <c r="B27" s="18" t="s">
        <v>49</v>
      </c>
      <c r="C27" s="18" t="s">
        <v>41</v>
      </c>
      <c r="D27" s="29" t="n">
        <v>3</v>
      </c>
      <c r="E27" s="30" t="s">
        <v>161</v>
      </c>
      <c r="F27" s="21" t="n">
        <f aca="false">Entradas!E10</f>
        <v>15</v>
      </c>
      <c r="G27" s="21" t="n">
        <f aca="false">Entradas!E11</f>
        <v>23</v>
      </c>
      <c r="H27" s="21" t="n">
        <f aca="false">Entradas!E12</f>
        <v>11.9</v>
      </c>
      <c r="I27" s="31" t="n">
        <f aca="false">IF(E27="NF en la base",H27-Entradas!$C$19,H27)</f>
        <v>2.09</v>
      </c>
      <c r="J27" s="15" t="n">
        <f aca="false">H27*Entradas!$C$18</f>
        <v>17.85</v>
      </c>
      <c r="K27" s="32" t="n">
        <f aca="false">TAN(RADIANS(45+G27/2))^2</f>
        <v>2.28262298226537</v>
      </c>
      <c r="L27" s="31" t="n">
        <f aca="false">EXP(PI()*TAN(RADIANS(G27)))*K27</f>
        <v>8.66119043526913</v>
      </c>
      <c r="M27" s="31" t="n">
        <f aca="false">(L27-1)/TAN(RADIANS(G27))</f>
        <v>18.0486336119551</v>
      </c>
      <c r="N27" s="31" t="n">
        <f aca="false">(L27-1)*TAN(RADIANS(1.4*G27))</f>
        <v>4.82450909890647</v>
      </c>
      <c r="O27" s="32" t="n">
        <f aca="false">1+0.2*K27*Entradas!$C$22</f>
        <v>1.45652459645307</v>
      </c>
      <c r="P27" s="32" t="n">
        <f aca="false">1+0.1*K27*Entradas!$C$22</f>
        <v>1.22826229822654</v>
      </c>
      <c r="Q27" s="32" t="n">
        <f aca="false">1+0.2*SQRT(K27)*Entradas!$C$18/D27</f>
        <v>1.15108351936149</v>
      </c>
      <c r="R27" s="32" t="n">
        <f aca="false">1+0.1*SQRT(K27)*Entradas!$C$18/D27</f>
        <v>1.07554175968075</v>
      </c>
      <c r="S27" s="19" t="n">
        <f aca="false">F27*M27*O27*Q27+J27*L27*P27*R27+0.5*I27*D27*N27*P27*R27</f>
        <v>678.117590630943</v>
      </c>
      <c r="T27" s="19" t="n">
        <f aca="false">S27/Entradas!$C$27</f>
        <v>226.039196876981</v>
      </c>
      <c r="U27" s="19" t="n">
        <f aca="false">AI27</f>
        <v>275.963734424948</v>
      </c>
      <c r="V27" s="19" t="n">
        <f aca="false">MIN(T27,U27)</f>
        <v>226.039196876981</v>
      </c>
      <c r="W27" s="33" t="n">
        <f aca="false">Entradas!E13</f>
        <v>2394</v>
      </c>
      <c r="X27" s="19" t="n">
        <f aca="false">Entradas!$C$20*W27/(Entradas!$C$21*D27*(1-Entradas!E14^2))+J27</f>
        <v>43.1183575567588</v>
      </c>
      <c r="Y27" s="16" t="n">
        <f aca="false">MIN(V27,X27)</f>
        <v>43.1183575567588</v>
      </c>
      <c r="Z27" s="18" t="str">
        <f aca="false">IF(X27&lt;V27,"Asentamiento",IF(T27&lt;=U27,"Falla (FSICP)","Falla (FSB directo)"))</f>
        <v>Asentamiento</v>
      </c>
      <c r="AA27" s="19" t="n">
        <f aca="false">MIN(S27/Entradas!$C$28,AO27)</f>
        <v>271.247036252377</v>
      </c>
      <c r="AB27" s="19" t="n">
        <f aca="false">MIN(S27/Entradas!$C$29,AU27)</f>
        <v>452.078393753962</v>
      </c>
      <c r="AD27" s="31" t="n">
        <f aca="false">DEGREES(ATAN(TAN(RADIANS(G27))/Entradas!$D$27))</f>
        <v>15.8006224419719</v>
      </c>
      <c r="AE27" s="32" t="n">
        <f aca="false">TAN(RADIANS(45+AD27/2))^2</f>
        <v>1.74835020061844</v>
      </c>
      <c r="AF27" s="31" t="n">
        <f aca="false">EXP(PI()*TAN(RADIANS(AD27)))*AE27</f>
        <v>4.25328053992906</v>
      </c>
      <c r="AG27" s="31" t="n">
        <f aca="false">(AF27-1)/TAN(RADIANS(AD27))</f>
        <v>11.4963729850204</v>
      </c>
      <c r="AH27" s="31" t="n">
        <f aca="false">(AF27-1)*TAN(RADIANS(1.4*AD27))</f>
        <v>1.32240093354325</v>
      </c>
      <c r="AI27" s="19" t="n">
        <f aca="false">F27/Entradas!$D$27*AG27*(1+0.2*AE27*Entradas!$C$22)*(1+0.2*SQRT(AE27)*Entradas!$C$18/D27)+J27*AF27*(1+0.1*AE27*Entradas!$C$22)*(1+0.1*SQRT(AE27)*Entradas!$C$18/D27)+0.5*I27*D27*AH27*(1+0.1*AE27*Entradas!$C$22)*(1+0.1*SQRT(AE27)*Entradas!$C$18/D27)</f>
        <v>275.963734424948</v>
      </c>
      <c r="AJ27" s="31" t="n">
        <f aca="false">DEGREES(ATAN(TAN(RADIANS(G27))/Entradas!$D$28))</f>
        <v>18.7564522494892</v>
      </c>
      <c r="AK27" s="32" t="n">
        <f aca="false">TAN(RADIANS(45+AJ27/2))^2</f>
        <v>1.94787899328278</v>
      </c>
      <c r="AL27" s="31" t="n">
        <f aca="false">EXP(PI()*TAN(RADIANS(AJ27)))*AK27</f>
        <v>5.66078545889507</v>
      </c>
      <c r="AM27" s="31" t="n">
        <f aca="false">(AL27-1)/TAN(RADIANS(AJ27))</f>
        <v>13.7251530624186</v>
      </c>
      <c r="AN27" s="31" t="n">
        <f aca="false">(AL27-1)*TAN(RADIANS(1.4*AJ27))</f>
        <v>2.29935861330232</v>
      </c>
      <c r="AO27" s="19" t="n">
        <f aca="false">F27/Entradas!$D$28*AM27*(1+0.2*AK27*Entradas!$C$22)*(1+0.2*SQRT(AK27)*Entradas!$C$18/D27)+J27*AL27*(1+0.1*AK27*Entradas!$C$22)*(1+0.1*SQRT(AK27)*Entradas!$C$18/D27)+0.5*I27*D27*AN27*(1+0.1*AK27*Entradas!$C$22)*(1+0.1*SQRT(AK27)*Entradas!$C$18/D27)</f>
        <v>399.173398077481</v>
      </c>
      <c r="AP27" s="31" t="n">
        <f aca="false">DEGREES(ATAN(TAN(RADIANS(G27))/Entradas!$D$29))</f>
        <v>21.1009131539532</v>
      </c>
      <c r="AQ27" s="32" t="n">
        <f aca="false">TAN(RADIANS(45+AP27/2))^2</f>
        <v>2.125057017942</v>
      </c>
      <c r="AR27" s="31" t="n">
        <f aca="false">EXP(PI()*TAN(RADIANS(AP27)))*AQ27</f>
        <v>7.14273584269154</v>
      </c>
      <c r="AS27" s="31" t="n">
        <f aca="false">(AR27-1)/TAN(RADIANS(AP27))</f>
        <v>15.9185166443987</v>
      </c>
      <c r="AT27" s="31" t="n">
        <f aca="false">(AR27-1)*TAN(RADIANS(1.4*AP27))</f>
        <v>3.48123720245678</v>
      </c>
      <c r="AU27" s="19" t="n">
        <f aca="false">F27/Entradas!$D$29*AS27*(1+0.2*AQ27*Entradas!$C$22)*(1+0.2*SQRT(AQ27)*Entradas!$C$18/D27)+J27*AR27*(1+0.1*AQ27*Entradas!$C$22)*(1+0.1*SQRT(AQ27)*Entradas!$C$18/D27)+0.5*I27*D27*AT27*(1+0.1*AQ27*Entradas!$C$22)*(1+0.1*SQRT(AQ27)*Entradas!$C$18/D27)</f>
        <v>534.477886153076</v>
      </c>
    </row>
    <row r="28" customFormat="false" ht="15" hidden="false" customHeight="false" outlineLevel="0" collapsed="false">
      <c r="A28" s="13" t="s">
        <v>80</v>
      </c>
      <c r="B28" s="18" t="s">
        <v>49</v>
      </c>
      <c r="C28" s="18" t="s">
        <v>41</v>
      </c>
      <c r="D28" s="29" t="n">
        <v>3</v>
      </c>
      <c r="E28" s="30" t="s">
        <v>162</v>
      </c>
      <c r="F28" s="21" t="n">
        <f aca="false">Entradas!E10</f>
        <v>15</v>
      </c>
      <c r="G28" s="21" t="n">
        <f aca="false">Entradas!E11</f>
        <v>23</v>
      </c>
      <c r="H28" s="21" t="n">
        <f aca="false">Entradas!E12</f>
        <v>11.9</v>
      </c>
      <c r="I28" s="31" t="n">
        <f aca="false">IF(E28="NF en la base",H28-Entradas!$C$19,H28)</f>
        <v>11.9</v>
      </c>
      <c r="J28" s="15" t="n">
        <f aca="false">H28*Entradas!$C$18</f>
        <v>17.85</v>
      </c>
      <c r="K28" s="32" t="n">
        <f aca="false">TAN(RADIANS(45+G28/2))^2</f>
        <v>2.28262298226537</v>
      </c>
      <c r="L28" s="31" t="n">
        <f aca="false">EXP(PI()*TAN(RADIANS(G28)))*K28</f>
        <v>8.66119043526913</v>
      </c>
      <c r="M28" s="31" t="n">
        <f aca="false">(L28-1)/TAN(RADIANS(G28))</f>
        <v>18.0486336119551</v>
      </c>
      <c r="N28" s="31" t="n">
        <f aca="false">(L28-1)*TAN(RADIANS(1.4*G28))</f>
        <v>4.82450909890647</v>
      </c>
      <c r="O28" s="32" t="n">
        <f aca="false">1+0.2*K28*Entradas!$C$22</f>
        <v>1.45652459645307</v>
      </c>
      <c r="P28" s="32" t="n">
        <f aca="false">1+0.1*K28*Entradas!$C$22</f>
        <v>1.22826229822654</v>
      </c>
      <c r="Q28" s="32" t="n">
        <f aca="false">1+0.2*SQRT(K28)*Entradas!$C$18/D28</f>
        <v>1.15108351936149</v>
      </c>
      <c r="R28" s="32" t="n">
        <f aca="false">1+0.1*SQRT(K28)*Entradas!$C$18/D28</f>
        <v>1.07554175968075</v>
      </c>
      <c r="S28" s="19" t="n">
        <f aca="false">F28*M28*O28*Q28+J28*L28*P28*R28+0.5*I28*D28*N28*P28*R28</f>
        <v>771.902247713866</v>
      </c>
      <c r="T28" s="19" t="n">
        <f aca="false">S28/Entradas!$C$27</f>
        <v>257.300749237955</v>
      </c>
      <c r="U28" s="19" t="n">
        <f aca="false">AI28</f>
        <v>300.336419240415</v>
      </c>
      <c r="V28" s="19" t="n">
        <f aca="false">MIN(T28,U28)</f>
        <v>257.300749237955</v>
      </c>
      <c r="W28" s="33" t="n">
        <f aca="false">Entradas!E13</f>
        <v>2394</v>
      </c>
      <c r="X28" s="19" t="n">
        <f aca="false">Entradas!$C$20*W28/(Entradas!$C$21*D28*(1-Entradas!E14^2))+J28</f>
        <v>43.1183575567588</v>
      </c>
      <c r="Y28" s="16" t="n">
        <f aca="false">MIN(V28,X28)</f>
        <v>43.1183575567588</v>
      </c>
      <c r="Z28" s="18" t="str">
        <f aca="false">IF(X28&lt;V28,"Asentamiento",IF(T28&lt;=U28,"Falla (FSICP)","Falla (FSB directo)"))</f>
        <v>Asentamiento</v>
      </c>
      <c r="AA28" s="19" t="n">
        <f aca="false">MIN(S28/Entradas!$C$28,AO28)</f>
        <v>308.760899085546</v>
      </c>
      <c r="AB28" s="19" t="n">
        <f aca="false">MIN(S28/Entradas!$C$29,AU28)</f>
        <v>514.601498475911</v>
      </c>
      <c r="AD28" s="31" t="n">
        <f aca="false">DEGREES(ATAN(TAN(RADIANS(G28))/Entradas!$D$27))</f>
        <v>15.8006224419719</v>
      </c>
      <c r="AE28" s="32" t="n">
        <f aca="false">TAN(RADIANS(45+AD28/2))^2</f>
        <v>1.74835020061844</v>
      </c>
      <c r="AF28" s="31" t="n">
        <f aca="false">EXP(PI()*TAN(RADIANS(AD28)))*AE28</f>
        <v>4.25328053992906</v>
      </c>
      <c r="AG28" s="31" t="n">
        <f aca="false">(AF28-1)/TAN(RADIANS(AD28))</f>
        <v>11.4963729850204</v>
      </c>
      <c r="AH28" s="31" t="n">
        <f aca="false">(AF28-1)*TAN(RADIANS(1.4*AD28))</f>
        <v>1.32240093354325</v>
      </c>
      <c r="AI28" s="19" t="n">
        <f aca="false">F28/Entradas!$D$27*AG28*(1+0.2*AE28*Entradas!$C$22)*(1+0.2*SQRT(AE28)*Entradas!$C$18/D28)+J28*AF28*(1+0.1*AE28*Entradas!$C$22)*(1+0.1*SQRT(AE28)*Entradas!$C$18/D28)+0.5*I28*D28*AH28*(1+0.1*AE28*Entradas!$C$22)*(1+0.1*SQRT(AE28)*Entradas!$C$18/D28)</f>
        <v>300.336419240415</v>
      </c>
      <c r="AJ28" s="31" t="n">
        <f aca="false">DEGREES(ATAN(TAN(RADIANS(G28))/Entradas!$D$28))</f>
        <v>18.7564522494892</v>
      </c>
      <c r="AK28" s="32" t="n">
        <f aca="false">TAN(RADIANS(45+AJ28/2))^2</f>
        <v>1.94787899328278</v>
      </c>
      <c r="AL28" s="31" t="n">
        <f aca="false">EXP(PI()*TAN(RADIANS(AJ28)))*AK28</f>
        <v>5.66078545889507</v>
      </c>
      <c r="AM28" s="31" t="n">
        <f aca="false">(AL28-1)/TAN(RADIANS(AJ28))</f>
        <v>13.7251530624186</v>
      </c>
      <c r="AN28" s="31" t="n">
        <f aca="false">(AL28-1)*TAN(RADIANS(1.4*AJ28))</f>
        <v>2.29935861330232</v>
      </c>
      <c r="AO28" s="19" t="n">
        <f aca="false">F28/Entradas!$D$28*AM28*(1+0.2*AK28*Entradas!$C$22)*(1+0.2*SQRT(AK28)*Entradas!$C$18/D28)+J28*AL28*(1+0.1*AK28*Entradas!$C$22)*(1+0.1*SQRT(AK28)*Entradas!$C$18/D28)+0.5*I28*D28*AN28*(1+0.1*AK28*Entradas!$C$22)*(1+0.1*SQRT(AK28)*Entradas!$C$18/D28)</f>
        <v>442.420157728875</v>
      </c>
      <c r="AP28" s="31" t="n">
        <f aca="false">DEGREES(ATAN(TAN(RADIANS(G28))/Entradas!$D$29))</f>
        <v>21.1009131539532</v>
      </c>
      <c r="AQ28" s="32" t="n">
        <f aca="false">TAN(RADIANS(45+AP28/2))^2</f>
        <v>2.125057017942</v>
      </c>
      <c r="AR28" s="31" t="n">
        <f aca="false">EXP(PI()*TAN(RADIANS(AP28)))*AQ28</f>
        <v>7.14273584269154</v>
      </c>
      <c r="AS28" s="31" t="n">
        <f aca="false">(AR28-1)/TAN(RADIANS(AP28))</f>
        <v>15.9185166443987</v>
      </c>
      <c r="AT28" s="31" t="n">
        <f aca="false">(AR28-1)*TAN(RADIANS(1.4*AP28))</f>
        <v>3.48123720245678</v>
      </c>
      <c r="AU28" s="19" t="n">
        <f aca="false">F28/Entradas!$D$29*AS28*(1+0.2*AQ28*Entradas!$C$22)*(1+0.2*SQRT(AQ28)*Entradas!$C$18/D28)+J28*AR28*(1+0.1*AQ28*Entradas!$C$22)*(1+0.1*SQRT(AQ28)*Entradas!$C$18/D28)+0.5*I28*D28*AT28*(1+0.1*AQ28*Entradas!$C$22)*(1+0.1*SQRT(AQ28)*Entradas!$C$18/D28)</f>
        <v>601.117429109751</v>
      </c>
    </row>
    <row r="29" customFormat="false" ht="15" hidden="false" customHeight="false" outlineLevel="0" collapsed="false">
      <c r="A29" s="13" t="s">
        <v>80</v>
      </c>
      <c r="B29" s="18" t="s">
        <v>49</v>
      </c>
      <c r="C29" s="18" t="s">
        <v>59</v>
      </c>
      <c r="D29" s="29" t="n">
        <v>1.5</v>
      </c>
      <c r="E29" s="30" t="s">
        <v>161</v>
      </c>
      <c r="F29" s="21" t="n">
        <f aca="false">Entradas!F10</f>
        <v>25</v>
      </c>
      <c r="G29" s="21" t="n">
        <f aca="false">Entradas!F11</f>
        <v>28</v>
      </c>
      <c r="H29" s="21" t="n">
        <f aca="false">Entradas!F12</f>
        <v>13.5</v>
      </c>
      <c r="I29" s="31" t="n">
        <f aca="false">IF(E29="NF en la base",H29-Entradas!$C$19,H29)</f>
        <v>3.69</v>
      </c>
      <c r="J29" s="15" t="n">
        <f aca="false">H29*Entradas!$C$18</f>
        <v>20.25</v>
      </c>
      <c r="K29" s="32" t="n">
        <f aca="false">TAN(RADIANS(45+G29/2))^2</f>
        <v>2.76982619537291</v>
      </c>
      <c r="L29" s="31" t="n">
        <f aca="false">EXP(PI()*TAN(RADIANS(G29)))*K29</f>
        <v>14.7198808263219</v>
      </c>
      <c r="M29" s="31" t="n">
        <f aca="false">(L29-1)/TAN(RADIANS(G29))</f>
        <v>25.8033429714612</v>
      </c>
      <c r="N29" s="31" t="n">
        <f aca="false">(L29-1)*TAN(RADIANS(1.4*G29))</f>
        <v>11.1896617599086</v>
      </c>
      <c r="O29" s="32" t="n">
        <f aca="false">1+0.2*K29*Entradas!$C$22</f>
        <v>1.55396523907458</v>
      </c>
      <c r="P29" s="32" t="n">
        <f aca="false">1+0.1*K29*Entradas!$C$22</f>
        <v>1.27698261953729</v>
      </c>
      <c r="Q29" s="32" t="n">
        <f aca="false">1+0.2*SQRT(K29)*Entradas!$C$18/D29</f>
        <v>1.3328558964701</v>
      </c>
      <c r="R29" s="32" t="n">
        <f aca="false">1+0.1*SQRT(K29)*Entradas!$C$18/D29</f>
        <v>1.16642794823505</v>
      </c>
      <c r="S29" s="19" t="n">
        <f aca="false">F29*M29*O29*Q29+J29*L29*P29*R29+0.5*I29*D29*N29*P29*R29</f>
        <v>1826.21986200575</v>
      </c>
      <c r="T29" s="19" t="n">
        <f aca="false">S29/Entradas!$C$27</f>
        <v>608.739954001916</v>
      </c>
      <c r="U29" s="19" t="n">
        <f aca="false">AI29</f>
        <v>610.352101245943</v>
      </c>
      <c r="V29" s="19" t="n">
        <f aca="false">MIN(T29,U29)</f>
        <v>608.739954001916</v>
      </c>
      <c r="W29" s="33" t="n">
        <f aca="false">Entradas!F13</f>
        <v>8379</v>
      </c>
      <c r="X29" s="19" t="n">
        <f aca="false">Entradas!$C$20*W29/(Entradas!$C$21*D29*(1-Entradas!F14^2))+J29</f>
        <v>197.128502897312</v>
      </c>
      <c r="Y29" s="16" t="n">
        <f aca="false">MIN(V29,X29)</f>
        <v>197.128502897312</v>
      </c>
      <c r="Z29" s="18" t="str">
        <f aca="false">IF(X29&lt;V29,"Asentamiento",IF(T29&lt;=U29,"Falla (FSICP)","Falla (FSB directo)"))</f>
        <v>Asentamiento</v>
      </c>
      <c r="AA29" s="19" t="n">
        <f aca="false">MIN(S29/Entradas!$C$28,AO29)</f>
        <v>730.487944802299</v>
      </c>
      <c r="AB29" s="19" t="n">
        <f aca="false">MIN(S29/Entradas!$C$29,AU29)</f>
        <v>1217.47990800383</v>
      </c>
      <c r="AD29" s="31" t="n">
        <f aca="false">DEGREES(ATAN(TAN(RADIANS(G29))/Entradas!$D$27))</f>
        <v>19.5180400958546</v>
      </c>
      <c r="AE29" s="32" t="n">
        <f aca="false">TAN(RADIANS(45+AD29/2))^2</f>
        <v>2.00347039849336</v>
      </c>
      <c r="AF29" s="31" t="n">
        <f aca="false">EXP(PI()*TAN(RADIANS(AD29)))*AE29</f>
        <v>6.10123070444003</v>
      </c>
      <c r="AG29" s="31" t="n">
        <f aca="false">(AF29-1)/TAN(RADIANS(AD29))</f>
        <v>14.3910293875165</v>
      </c>
      <c r="AH29" s="31" t="n">
        <f aca="false">(AF29-1)*TAN(RADIANS(1.4*AD29))</f>
        <v>2.63578981928614</v>
      </c>
      <c r="AI29" s="19" t="n">
        <f aca="false">F29/Entradas!$D$27*AG29*(1+0.2*AE29*Entradas!$C$22)*(1+0.2*SQRT(AE29)*Entradas!$C$18/D29)+J29*AF29*(1+0.1*AE29*Entradas!$C$22)*(1+0.1*SQRT(AE29)*Entradas!$C$18/D29)+0.5*I29*D29*AH29*(1+0.1*AE29*Entradas!$C$22)*(1+0.1*SQRT(AE29)*Entradas!$C$18/D29)</f>
        <v>610.352101245943</v>
      </c>
      <c r="AJ29" s="31" t="n">
        <f aca="false">DEGREES(ATAN(TAN(RADIANS(G29))/Entradas!$D$28))</f>
        <v>23.0433266381285</v>
      </c>
      <c r="AK29" s="32" t="n">
        <f aca="false">TAN(RADIANS(45+AJ29/2))^2</f>
        <v>2.28637700663594</v>
      </c>
      <c r="AL29" s="31" t="n">
        <f aca="false">EXP(PI()*TAN(RADIANS(AJ29)))*AK29</f>
        <v>8.69979991434377</v>
      </c>
      <c r="AM29" s="31" t="n">
        <f aca="false">(AL29-1)/TAN(RADIANS(AJ29))</f>
        <v>18.1015218459722</v>
      </c>
      <c r="AN29" s="31" t="n">
        <f aca="false">(AL29-1)*TAN(RADIANS(1.4*AJ29))</f>
        <v>4.86021453959288</v>
      </c>
      <c r="AO29" s="19" t="n">
        <f aca="false">F29/Entradas!$D$28*AM29*(1+0.2*AK29*Entradas!$C$22)*(1+0.2*SQRT(AK29)*Entradas!$C$18/D29)+J29*AL29*(1+0.1*AK29*Entradas!$C$22)*(1+0.1*SQRT(AK29)*Entradas!$C$18/D29)+0.5*I29*D29*AN29*(1+0.1*AK29*Entradas!$C$22)*(1+0.1*SQRT(AK29)*Entradas!$C$18/D29)</f>
        <v>955.32982157411</v>
      </c>
      <c r="AP29" s="31" t="n">
        <f aca="false">DEGREES(ATAN(TAN(RADIANS(G29))/Entradas!$D$29))</f>
        <v>25.7978321441296</v>
      </c>
      <c r="AQ29" s="32" t="n">
        <f aca="false">TAN(RADIANS(45+AP29/2))^2</f>
        <v>2.54105789418604</v>
      </c>
      <c r="AR29" s="31" t="n">
        <f aca="false">EXP(PI()*TAN(RADIANS(AP29)))*AQ29</f>
        <v>11.601554222897</v>
      </c>
      <c r="AS29" s="31" t="n">
        <f aca="false">(AR29-1)/TAN(RADIANS(AP29))</f>
        <v>21.9324859608871</v>
      </c>
      <c r="AT29" s="31" t="n">
        <f aca="false">(AR29-1)*TAN(RADIANS(1.4*AP29))</f>
        <v>7.73559561663547</v>
      </c>
      <c r="AU29" s="19" t="n">
        <f aca="false">F29/Entradas!$D$29*AS29*(1+0.2*AQ29*Entradas!$C$22)*(1+0.2*SQRT(AQ29)*Entradas!$C$18/D29)+J29*AR29*(1+0.1*AQ29*Entradas!$C$22)*(1+0.1*SQRT(AQ29)*Entradas!$C$18/D29)+0.5*I29*D29*AT29*(1+0.1*AQ29*Entradas!$C$22)*(1+0.1*SQRT(AQ29)*Entradas!$C$18/D29)</f>
        <v>1364.19603228203</v>
      </c>
    </row>
    <row r="30" customFormat="false" ht="15" hidden="false" customHeight="false" outlineLevel="0" collapsed="false">
      <c r="A30" s="13" t="s">
        <v>80</v>
      </c>
      <c r="B30" s="18" t="s">
        <v>49</v>
      </c>
      <c r="C30" s="18" t="s">
        <v>59</v>
      </c>
      <c r="D30" s="29" t="n">
        <v>1.5</v>
      </c>
      <c r="E30" s="30" t="s">
        <v>162</v>
      </c>
      <c r="F30" s="21" t="n">
        <f aca="false">Entradas!F10</f>
        <v>25</v>
      </c>
      <c r="G30" s="21" t="n">
        <f aca="false">Entradas!F11</f>
        <v>28</v>
      </c>
      <c r="H30" s="21" t="n">
        <f aca="false">Entradas!F12</f>
        <v>13.5</v>
      </c>
      <c r="I30" s="31" t="n">
        <f aca="false">IF(E30="NF en la base",H30-Entradas!$C$19,H30)</f>
        <v>13.5</v>
      </c>
      <c r="J30" s="15" t="n">
        <f aca="false">H30*Entradas!$C$18</f>
        <v>20.25</v>
      </c>
      <c r="K30" s="32" t="n">
        <f aca="false">TAN(RADIANS(45+G30/2))^2</f>
        <v>2.76982619537291</v>
      </c>
      <c r="L30" s="31" t="n">
        <f aca="false">EXP(PI()*TAN(RADIANS(G30)))*K30</f>
        <v>14.7198808263219</v>
      </c>
      <c r="M30" s="31" t="n">
        <f aca="false">(L30-1)/TAN(RADIANS(G30))</f>
        <v>25.8033429714612</v>
      </c>
      <c r="N30" s="31" t="n">
        <f aca="false">(L30-1)*TAN(RADIANS(1.4*G30))</f>
        <v>11.1896617599086</v>
      </c>
      <c r="O30" s="32" t="n">
        <f aca="false">1+0.2*K30*Entradas!$C$22</f>
        <v>1.55396523907458</v>
      </c>
      <c r="P30" s="32" t="n">
        <f aca="false">1+0.1*K30*Entradas!$C$22</f>
        <v>1.27698261953729</v>
      </c>
      <c r="Q30" s="32" t="n">
        <f aca="false">1+0.2*SQRT(K30)*Entradas!$C$18/D30</f>
        <v>1.3328558964701</v>
      </c>
      <c r="R30" s="32" t="n">
        <f aca="false">1+0.1*SQRT(K30)*Entradas!$C$18/D30</f>
        <v>1.16642794823505</v>
      </c>
      <c r="S30" s="19" t="n">
        <f aca="false">F30*M30*O30*Q30+J30*L30*P30*R30+0.5*I30*D30*N30*P30*R30</f>
        <v>1948.84799974673</v>
      </c>
      <c r="T30" s="19" t="n">
        <f aca="false">S30/Entradas!$C$27</f>
        <v>649.615999915576</v>
      </c>
      <c r="U30" s="19" t="n">
        <f aca="false">AI30</f>
        <v>636.925097637415</v>
      </c>
      <c r="V30" s="19" t="n">
        <f aca="false">MIN(T30,U30)</f>
        <v>636.925097637415</v>
      </c>
      <c r="W30" s="33" t="n">
        <f aca="false">Entradas!F13</f>
        <v>8379</v>
      </c>
      <c r="X30" s="19" t="n">
        <f aca="false">Entradas!$C$20*W30/(Entradas!$C$21*D30*(1-Entradas!F14^2))+J30</f>
        <v>197.128502897312</v>
      </c>
      <c r="Y30" s="16" t="n">
        <f aca="false">MIN(V30,X30)</f>
        <v>197.128502897312</v>
      </c>
      <c r="Z30" s="18" t="str">
        <f aca="false">IF(X30&lt;V30,"Asentamiento",IF(T30&lt;=U30,"Falla (FSICP)","Falla (FSB directo)"))</f>
        <v>Asentamiento</v>
      </c>
      <c r="AA30" s="19" t="n">
        <f aca="false">MIN(S30/Entradas!$C$28,AO30)</f>
        <v>779.539199898691</v>
      </c>
      <c r="AB30" s="19" t="n">
        <f aca="false">MIN(S30/Entradas!$C$29,AU30)</f>
        <v>1299.23199983115</v>
      </c>
      <c r="AD30" s="31" t="n">
        <f aca="false">DEGREES(ATAN(TAN(RADIANS(G30))/Entradas!$D$27))</f>
        <v>19.5180400958546</v>
      </c>
      <c r="AE30" s="32" t="n">
        <f aca="false">TAN(RADIANS(45+AD30/2))^2</f>
        <v>2.00347039849336</v>
      </c>
      <c r="AF30" s="31" t="n">
        <f aca="false">EXP(PI()*TAN(RADIANS(AD30)))*AE30</f>
        <v>6.10123070444003</v>
      </c>
      <c r="AG30" s="31" t="n">
        <f aca="false">(AF30-1)/TAN(RADIANS(AD30))</f>
        <v>14.3910293875165</v>
      </c>
      <c r="AH30" s="31" t="n">
        <f aca="false">(AF30-1)*TAN(RADIANS(1.4*AD30))</f>
        <v>2.63578981928614</v>
      </c>
      <c r="AI30" s="19" t="n">
        <f aca="false">F30/Entradas!$D$27*AG30*(1+0.2*AE30*Entradas!$C$22)*(1+0.2*SQRT(AE30)*Entradas!$C$18/D30)+J30*AF30*(1+0.1*AE30*Entradas!$C$22)*(1+0.1*SQRT(AE30)*Entradas!$C$18/D30)+0.5*I30*D30*AH30*(1+0.1*AE30*Entradas!$C$22)*(1+0.1*SQRT(AE30)*Entradas!$C$18/D30)</f>
        <v>636.925097637415</v>
      </c>
      <c r="AJ30" s="31" t="n">
        <f aca="false">DEGREES(ATAN(TAN(RADIANS(G30))/Entradas!$D$28))</f>
        <v>23.0433266381285</v>
      </c>
      <c r="AK30" s="32" t="n">
        <f aca="false">TAN(RADIANS(45+AJ30/2))^2</f>
        <v>2.28637700663594</v>
      </c>
      <c r="AL30" s="31" t="n">
        <f aca="false">EXP(PI()*TAN(RADIANS(AJ30)))*AK30</f>
        <v>8.69979991434377</v>
      </c>
      <c r="AM30" s="31" t="n">
        <f aca="false">(AL30-1)/TAN(RADIANS(AJ30))</f>
        <v>18.1015218459722</v>
      </c>
      <c r="AN30" s="31" t="n">
        <f aca="false">(AL30-1)*TAN(RADIANS(1.4*AJ30))</f>
        <v>4.86021453959288</v>
      </c>
      <c r="AO30" s="19" t="n">
        <f aca="false">F30/Entradas!$D$28*AM30*(1+0.2*AK30*Entradas!$C$22)*(1+0.2*SQRT(AK30)*Entradas!$C$18/D30)+J30*AL30*(1+0.1*AK30*Entradas!$C$22)*(1+0.1*SQRT(AK30)*Entradas!$C$18/D30)+0.5*I30*D30*AN30*(1+0.1*AK30*Entradas!$C$22)*(1+0.1*SQRT(AK30)*Entradas!$C$18/D30)</f>
        <v>1005.90800606534</v>
      </c>
      <c r="AP30" s="31" t="n">
        <f aca="false">DEGREES(ATAN(TAN(RADIANS(G30))/Entradas!$D$29))</f>
        <v>25.7978321441296</v>
      </c>
      <c r="AQ30" s="32" t="n">
        <f aca="false">TAN(RADIANS(45+AP30/2))^2</f>
        <v>2.54105789418604</v>
      </c>
      <c r="AR30" s="31" t="n">
        <f aca="false">EXP(PI()*TAN(RADIANS(AP30)))*AQ30</f>
        <v>11.601554222897</v>
      </c>
      <c r="AS30" s="31" t="n">
        <f aca="false">(AR30-1)/TAN(RADIANS(AP30))</f>
        <v>21.9324859608871</v>
      </c>
      <c r="AT30" s="31" t="n">
        <f aca="false">(AR30-1)*TAN(RADIANS(1.4*AP30))</f>
        <v>7.73559561663547</v>
      </c>
      <c r="AU30" s="19" t="n">
        <f aca="false">F30/Entradas!$D$29*AS30*(1+0.2*AQ30*Entradas!$C$22)*(1+0.2*SQRT(AQ30)*Entradas!$C$18/D30)+J30*AR30*(1+0.1*AQ30*Entradas!$C$22)*(1+0.1*SQRT(AQ30)*Entradas!$C$18/D30)+0.5*I30*D30*AT30*(1+0.1*AQ30*Entradas!$C$22)*(1+0.1*SQRT(AQ30)*Entradas!$C$18/D30)</f>
        <v>1446.95100604492</v>
      </c>
    </row>
    <row r="31" customFormat="false" ht="15" hidden="false" customHeight="false" outlineLevel="0" collapsed="false">
      <c r="A31" s="13" t="s">
        <v>80</v>
      </c>
      <c r="B31" s="18" t="s">
        <v>49</v>
      </c>
      <c r="C31" s="18" t="s">
        <v>59</v>
      </c>
      <c r="D31" s="29" t="n">
        <v>2</v>
      </c>
      <c r="E31" s="30" t="s">
        <v>161</v>
      </c>
      <c r="F31" s="21" t="n">
        <f aca="false">Entradas!F10</f>
        <v>25</v>
      </c>
      <c r="G31" s="21" t="n">
        <f aca="false">Entradas!F11</f>
        <v>28</v>
      </c>
      <c r="H31" s="21" t="n">
        <f aca="false">Entradas!F12</f>
        <v>13.5</v>
      </c>
      <c r="I31" s="31" t="n">
        <f aca="false">IF(E31="NF en la base",H31-Entradas!$C$19,H31)</f>
        <v>3.69</v>
      </c>
      <c r="J31" s="15" t="n">
        <f aca="false">H31*Entradas!$C$18</f>
        <v>20.25</v>
      </c>
      <c r="K31" s="32" t="n">
        <f aca="false">TAN(RADIANS(45+G31/2))^2</f>
        <v>2.76982619537291</v>
      </c>
      <c r="L31" s="31" t="n">
        <f aca="false">EXP(PI()*TAN(RADIANS(G31)))*K31</f>
        <v>14.7198808263219</v>
      </c>
      <c r="M31" s="31" t="n">
        <f aca="false">(L31-1)/TAN(RADIANS(G31))</f>
        <v>25.8033429714612</v>
      </c>
      <c r="N31" s="31" t="n">
        <f aca="false">(L31-1)*TAN(RADIANS(1.4*G31))</f>
        <v>11.1896617599086</v>
      </c>
      <c r="O31" s="32" t="n">
        <f aca="false">1+0.2*K31*Entradas!$C$22</f>
        <v>1.55396523907458</v>
      </c>
      <c r="P31" s="32" t="n">
        <f aca="false">1+0.1*K31*Entradas!$C$22</f>
        <v>1.27698261953729</v>
      </c>
      <c r="Q31" s="32" t="n">
        <f aca="false">1+0.2*SQRT(K31)*Entradas!$C$18/D31</f>
        <v>1.24964192235258</v>
      </c>
      <c r="R31" s="32" t="n">
        <f aca="false">1+0.1*SQRT(K31)*Entradas!$C$18/D31</f>
        <v>1.12482096117629</v>
      </c>
      <c r="S31" s="19" t="n">
        <f aca="false">F31*M31*O31*Q31+J31*L31*P31*R31+0.5*I31*D31*N31*P31*R31</f>
        <v>1740.14738444284</v>
      </c>
      <c r="T31" s="19" t="n">
        <f aca="false">S31/Entradas!$C$27</f>
        <v>580.049128147614</v>
      </c>
      <c r="U31" s="19" t="n">
        <f aca="false">AI31</f>
        <v>584.246561896152</v>
      </c>
      <c r="V31" s="19" t="n">
        <f aca="false">MIN(T31,U31)</f>
        <v>580.049128147614</v>
      </c>
      <c r="W31" s="33" t="n">
        <f aca="false">Entradas!F13</f>
        <v>8379</v>
      </c>
      <c r="X31" s="19" t="n">
        <f aca="false">Entradas!$C$20*W31/(Entradas!$C$21*D31*(1-Entradas!F14^2))+J31</f>
        <v>152.908877172984</v>
      </c>
      <c r="Y31" s="16" t="n">
        <f aca="false">MIN(V31,X31)</f>
        <v>152.908877172984</v>
      </c>
      <c r="Z31" s="18" t="str">
        <f aca="false">IF(X31&lt;V31,"Asentamiento",IF(T31&lt;=U31,"Falla (FSICP)","Falla (FSB directo)"))</f>
        <v>Asentamiento</v>
      </c>
      <c r="AA31" s="19" t="n">
        <f aca="false">MIN(S31/Entradas!$C$28,AO31)</f>
        <v>696.058953777136</v>
      </c>
      <c r="AB31" s="19" t="n">
        <f aca="false">MIN(S31/Entradas!$C$29,AU31)</f>
        <v>1160.09825629523</v>
      </c>
      <c r="AD31" s="31" t="n">
        <f aca="false">DEGREES(ATAN(TAN(RADIANS(G31))/Entradas!$D$27))</f>
        <v>19.5180400958546</v>
      </c>
      <c r="AE31" s="32" t="n">
        <f aca="false">TAN(RADIANS(45+AD31/2))^2</f>
        <v>2.00347039849336</v>
      </c>
      <c r="AF31" s="31" t="n">
        <f aca="false">EXP(PI()*TAN(RADIANS(AD31)))*AE31</f>
        <v>6.10123070444003</v>
      </c>
      <c r="AG31" s="31" t="n">
        <f aca="false">(AF31-1)/TAN(RADIANS(AD31))</f>
        <v>14.3910293875165</v>
      </c>
      <c r="AH31" s="31" t="n">
        <f aca="false">(AF31-1)*TAN(RADIANS(1.4*AD31))</f>
        <v>2.63578981928614</v>
      </c>
      <c r="AI31" s="19" t="n">
        <f aca="false">F31/Entradas!$D$27*AG31*(1+0.2*AE31*Entradas!$C$22)*(1+0.2*SQRT(AE31)*Entradas!$C$18/D31)+J31*AF31*(1+0.1*AE31*Entradas!$C$22)*(1+0.1*SQRT(AE31)*Entradas!$C$18/D31)+0.5*I31*D31*AH31*(1+0.1*AE31*Entradas!$C$22)*(1+0.1*SQRT(AE31)*Entradas!$C$18/D31)</f>
        <v>584.246561896152</v>
      </c>
      <c r="AJ31" s="31" t="n">
        <f aca="false">DEGREES(ATAN(TAN(RADIANS(G31))/Entradas!$D$28))</f>
        <v>23.0433266381285</v>
      </c>
      <c r="AK31" s="32" t="n">
        <f aca="false">TAN(RADIANS(45+AJ31/2))^2</f>
        <v>2.28637700663594</v>
      </c>
      <c r="AL31" s="31" t="n">
        <f aca="false">EXP(PI()*TAN(RADIANS(AJ31)))*AK31</f>
        <v>8.69979991434377</v>
      </c>
      <c r="AM31" s="31" t="n">
        <f aca="false">(AL31-1)/TAN(RADIANS(AJ31))</f>
        <v>18.1015218459722</v>
      </c>
      <c r="AN31" s="31" t="n">
        <f aca="false">(AL31-1)*TAN(RADIANS(1.4*AJ31))</f>
        <v>4.86021453959288</v>
      </c>
      <c r="AO31" s="19" t="n">
        <f aca="false">F31/Entradas!$D$28*AM31*(1+0.2*AK31*Entradas!$C$22)*(1+0.2*SQRT(AK31)*Entradas!$C$18/D31)+J31*AL31*(1+0.1*AK31*Entradas!$C$22)*(1+0.1*SQRT(AK31)*Entradas!$C$18/D31)+0.5*I31*D31*AN31*(1+0.1*AK31*Entradas!$C$22)*(1+0.1*SQRT(AK31)*Entradas!$C$18/D31)</f>
        <v>912.769307365049</v>
      </c>
      <c r="AP31" s="31" t="n">
        <f aca="false">DEGREES(ATAN(TAN(RADIANS(G31))/Entradas!$D$29))</f>
        <v>25.7978321441296</v>
      </c>
      <c r="AQ31" s="32" t="n">
        <f aca="false">TAN(RADIANS(45+AP31/2))^2</f>
        <v>2.54105789418604</v>
      </c>
      <c r="AR31" s="31" t="n">
        <f aca="false">EXP(PI()*TAN(RADIANS(AP31)))*AQ31</f>
        <v>11.601554222897</v>
      </c>
      <c r="AS31" s="31" t="n">
        <f aca="false">(AR31-1)/TAN(RADIANS(AP31))</f>
        <v>21.9324859608871</v>
      </c>
      <c r="AT31" s="31" t="n">
        <f aca="false">(AR31-1)*TAN(RADIANS(1.4*AP31))</f>
        <v>7.73559561663547</v>
      </c>
      <c r="AU31" s="19" t="n">
        <f aca="false">F31/Entradas!$D$29*AS31*(1+0.2*AQ31*Entradas!$C$22)*(1+0.2*SQRT(AQ31)*Entradas!$C$18/D31)+J31*AR31*(1+0.1*AQ31*Entradas!$C$22)*(1+0.1*SQRT(AQ31)*Entradas!$C$18/D31)+0.5*I31*D31*AT31*(1+0.1*AQ31*Entradas!$C$22)*(1+0.1*SQRT(AQ31)*Entradas!$C$18/D31)</f>
        <v>1301.48356032661</v>
      </c>
    </row>
    <row r="32" customFormat="false" ht="15" hidden="false" customHeight="false" outlineLevel="0" collapsed="false">
      <c r="A32" s="13" t="s">
        <v>80</v>
      </c>
      <c r="B32" s="18" t="s">
        <v>49</v>
      </c>
      <c r="C32" s="18" t="s">
        <v>59</v>
      </c>
      <c r="D32" s="29" t="n">
        <v>2</v>
      </c>
      <c r="E32" s="30" t="s">
        <v>162</v>
      </c>
      <c r="F32" s="21" t="n">
        <f aca="false">Entradas!F10</f>
        <v>25</v>
      </c>
      <c r="G32" s="21" t="n">
        <f aca="false">Entradas!F11</f>
        <v>28</v>
      </c>
      <c r="H32" s="21" t="n">
        <f aca="false">Entradas!F12</f>
        <v>13.5</v>
      </c>
      <c r="I32" s="31" t="n">
        <f aca="false">IF(E32="NF en la base",H32-Entradas!$C$19,H32)</f>
        <v>13.5</v>
      </c>
      <c r="J32" s="15" t="n">
        <f aca="false">H32*Entradas!$C$18</f>
        <v>20.25</v>
      </c>
      <c r="K32" s="32" t="n">
        <f aca="false">TAN(RADIANS(45+G32/2))^2</f>
        <v>2.76982619537291</v>
      </c>
      <c r="L32" s="31" t="n">
        <f aca="false">EXP(PI()*TAN(RADIANS(G32)))*K32</f>
        <v>14.7198808263219</v>
      </c>
      <c r="M32" s="31" t="n">
        <f aca="false">(L32-1)/TAN(RADIANS(G32))</f>
        <v>25.8033429714612</v>
      </c>
      <c r="N32" s="31" t="n">
        <f aca="false">(L32-1)*TAN(RADIANS(1.4*G32))</f>
        <v>11.1896617599086</v>
      </c>
      <c r="O32" s="32" t="n">
        <f aca="false">1+0.2*K32*Entradas!$C$22</f>
        <v>1.55396523907458</v>
      </c>
      <c r="P32" s="32" t="n">
        <f aca="false">1+0.1*K32*Entradas!$C$22</f>
        <v>1.27698261953729</v>
      </c>
      <c r="Q32" s="32" t="n">
        <f aca="false">1+0.2*SQRT(K32)*Entradas!$C$18/D32</f>
        <v>1.24964192235258</v>
      </c>
      <c r="R32" s="32" t="n">
        <f aca="false">1+0.1*SQRT(K32)*Entradas!$C$18/D32</f>
        <v>1.12482096117629</v>
      </c>
      <c r="S32" s="19" t="n">
        <f aca="false">F32*M32*O32*Q32+J32*L32*P32*R32+0.5*I32*D32*N32*P32*R32</f>
        <v>1897.81930347825</v>
      </c>
      <c r="T32" s="19" t="n">
        <f aca="false">S32/Entradas!$C$27</f>
        <v>632.606434492751</v>
      </c>
      <c r="U32" s="19" t="n">
        <f aca="false">AI32</f>
        <v>618.578931086643</v>
      </c>
      <c r="V32" s="19" t="n">
        <f aca="false">MIN(T32,U32)</f>
        <v>618.578931086643</v>
      </c>
      <c r="W32" s="33" t="n">
        <f aca="false">Entradas!F13</f>
        <v>8379</v>
      </c>
      <c r="X32" s="19" t="n">
        <f aca="false">Entradas!$C$20*W32/(Entradas!$C$21*D32*(1-Entradas!F14^2))+J32</f>
        <v>152.908877172984</v>
      </c>
      <c r="Y32" s="16" t="n">
        <f aca="false">MIN(V32,X32)</f>
        <v>152.908877172984</v>
      </c>
      <c r="Z32" s="18" t="str">
        <f aca="false">IF(X32&lt;V32,"Asentamiento",IF(T32&lt;=U32,"Falla (FSICP)","Falla (FSB directo)"))</f>
        <v>Asentamiento</v>
      </c>
      <c r="AA32" s="19" t="n">
        <f aca="false">MIN(S32/Entradas!$C$28,AO32)</f>
        <v>759.127721391301</v>
      </c>
      <c r="AB32" s="19" t="n">
        <f aca="false">MIN(S32/Entradas!$C$29,AU32)</f>
        <v>1265.2128689855</v>
      </c>
      <c r="AD32" s="31" t="n">
        <f aca="false">DEGREES(ATAN(TAN(RADIANS(G32))/Entradas!$D$27))</f>
        <v>19.5180400958546</v>
      </c>
      <c r="AE32" s="32" t="n">
        <f aca="false">TAN(RADIANS(45+AD32/2))^2</f>
        <v>2.00347039849336</v>
      </c>
      <c r="AF32" s="31" t="n">
        <f aca="false">EXP(PI()*TAN(RADIANS(AD32)))*AE32</f>
        <v>6.10123070444003</v>
      </c>
      <c r="AG32" s="31" t="n">
        <f aca="false">(AF32-1)/TAN(RADIANS(AD32))</f>
        <v>14.3910293875165</v>
      </c>
      <c r="AH32" s="31" t="n">
        <f aca="false">(AF32-1)*TAN(RADIANS(1.4*AD32))</f>
        <v>2.63578981928614</v>
      </c>
      <c r="AI32" s="19" t="n">
        <f aca="false">F32/Entradas!$D$27*AG32*(1+0.2*AE32*Entradas!$C$22)*(1+0.2*SQRT(AE32)*Entradas!$C$18/D32)+J32*AF32*(1+0.1*AE32*Entradas!$C$22)*(1+0.1*SQRT(AE32)*Entradas!$C$18/D32)+0.5*I32*D32*AH32*(1+0.1*AE32*Entradas!$C$22)*(1+0.1*SQRT(AE32)*Entradas!$C$18/D32)</f>
        <v>618.578931086643</v>
      </c>
      <c r="AJ32" s="31" t="n">
        <f aca="false">DEGREES(ATAN(TAN(RADIANS(G32))/Entradas!$D$28))</f>
        <v>23.0433266381285</v>
      </c>
      <c r="AK32" s="32" t="n">
        <f aca="false">TAN(RADIANS(45+AJ32/2))^2</f>
        <v>2.28637700663594</v>
      </c>
      <c r="AL32" s="31" t="n">
        <f aca="false">EXP(PI()*TAN(RADIANS(AJ32)))*AK32</f>
        <v>8.69979991434377</v>
      </c>
      <c r="AM32" s="31" t="n">
        <f aca="false">(AL32-1)/TAN(RADIANS(AJ32))</f>
        <v>18.1015218459722</v>
      </c>
      <c r="AN32" s="31" t="n">
        <f aca="false">(AL32-1)*TAN(RADIANS(1.4*AJ32))</f>
        <v>4.86021453959288</v>
      </c>
      <c r="AO32" s="19" t="n">
        <f aca="false">F32/Entradas!$D$28*AM32*(1+0.2*AK32*Entradas!$C$22)*(1+0.2*SQRT(AK32)*Entradas!$C$18/D32)+J32*AL32*(1+0.1*AK32*Entradas!$C$22)*(1+0.1*SQRT(AK32)*Entradas!$C$18/D32)+0.5*I32*D32*AN32*(1+0.1*AK32*Entradas!$C$22)*(1+0.1*SQRT(AK32)*Entradas!$C$18/D32)</f>
        <v>977.992455364127</v>
      </c>
      <c r="AP32" s="31" t="n">
        <f aca="false">DEGREES(ATAN(TAN(RADIANS(G32))/Entradas!$D$29))</f>
        <v>25.7978321441296</v>
      </c>
      <c r="AQ32" s="32" t="n">
        <f aca="false">TAN(RADIANS(45+AP32/2))^2</f>
        <v>2.54105789418604</v>
      </c>
      <c r="AR32" s="31" t="n">
        <f aca="false">EXP(PI()*TAN(RADIANS(AP32)))*AQ32</f>
        <v>11.601554222897</v>
      </c>
      <c r="AS32" s="31" t="n">
        <f aca="false">(AR32-1)/TAN(RADIANS(AP32))</f>
        <v>21.9324859608871</v>
      </c>
      <c r="AT32" s="31" t="n">
        <f aca="false">(AR32-1)*TAN(RADIANS(1.4*AP32))</f>
        <v>7.73559561663547</v>
      </c>
      <c r="AU32" s="19" t="n">
        <f aca="false">F32/Entradas!$D$29*AS32*(1+0.2*AQ32*Entradas!$C$22)*(1+0.2*SQRT(AQ32)*Entradas!$C$18/D32)+J32*AR32*(1+0.1*AQ32*Entradas!$C$22)*(1+0.1*SQRT(AQ32)*Entradas!$C$18/D32)+0.5*I32*D32*AT32*(1+0.1*AQ32*Entradas!$C$22)*(1+0.1*SQRT(AQ32)*Entradas!$C$18/D32)</f>
        <v>1408.0308625838</v>
      </c>
    </row>
    <row r="33" customFormat="false" ht="15" hidden="false" customHeight="false" outlineLevel="0" collapsed="false">
      <c r="A33" s="13" t="s">
        <v>80</v>
      </c>
      <c r="B33" s="18" t="s">
        <v>49</v>
      </c>
      <c r="C33" s="18" t="s">
        <v>59</v>
      </c>
      <c r="D33" s="29" t="n">
        <v>3</v>
      </c>
      <c r="E33" s="30" t="s">
        <v>161</v>
      </c>
      <c r="F33" s="21" t="n">
        <f aca="false">Entradas!F10</f>
        <v>25</v>
      </c>
      <c r="G33" s="21" t="n">
        <f aca="false">Entradas!F11</f>
        <v>28</v>
      </c>
      <c r="H33" s="21" t="n">
        <f aca="false">Entradas!F12</f>
        <v>13.5</v>
      </c>
      <c r="I33" s="31" t="n">
        <f aca="false">IF(E33="NF en la base",H33-Entradas!$C$19,H33)</f>
        <v>3.69</v>
      </c>
      <c r="J33" s="15" t="n">
        <f aca="false">H33*Entradas!$C$18</f>
        <v>20.25</v>
      </c>
      <c r="K33" s="32" t="n">
        <f aca="false">TAN(RADIANS(45+G33/2))^2</f>
        <v>2.76982619537291</v>
      </c>
      <c r="L33" s="31" t="n">
        <f aca="false">EXP(PI()*TAN(RADIANS(G33)))*K33</f>
        <v>14.7198808263219</v>
      </c>
      <c r="M33" s="31" t="n">
        <f aca="false">(L33-1)/TAN(RADIANS(G33))</f>
        <v>25.8033429714612</v>
      </c>
      <c r="N33" s="31" t="n">
        <f aca="false">(L33-1)*TAN(RADIANS(1.4*G33))</f>
        <v>11.1896617599086</v>
      </c>
      <c r="O33" s="32" t="n">
        <f aca="false">1+0.2*K33*Entradas!$C$22</f>
        <v>1.55396523907458</v>
      </c>
      <c r="P33" s="32" t="n">
        <f aca="false">1+0.1*K33*Entradas!$C$22</f>
        <v>1.27698261953729</v>
      </c>
      <c r="Q33" s="32" t="n">
        <f aca="false">1+0.2*SQRT(K33)*Entradas!$C$18/D33</f>
        <v>1.16642794823505</v>
      </c>
      <c r="R33" s="32" t="n">
        <f aca="false">1+0.1*SQRT(K33)*Entradas!$C$18/D33</f>
        <v>1.08321397411753</v>
      </c>
      <c r="S33" s="19" t="n">
        <f aca="false">F33*M33*O33*Q33+J33*L33*P33*R33+0.5*I33*D33*N33*P33*R33</f>
        <v>1667.25651268793</v>
      </c>
      <c r="T33" s="19" t="n">
        <f aca="false">S33/Entradas!$C$27</f>
        <v>555.752170895977</v>
      </c>
      <c r="U33" s="19" t="n">
        <f aca="false">AI33</f>
        <v>561.059685709294</v>
      </c>
      <c r="V33" s="19" t="n">
        <f aca="false">MIN(T33,U33)</f>
        <v>555.752170895977</v>
      </c>
      <c r="W33" s="33" t="n">
        <f aca="false">Entradas!F13</f>
        <v>8379</v>
      </c>
      <c r="X33" s="19" t="n">
        <f aca="false">Entradas!$C$20*W33/(Entradas!$C$21*D33*(1-Entradas!F14^2))+J33</f>
        <v>108.689251448656</v>
      </c>
      <c r="Y33" s="16" t="n">
        <f aca="false">MIN(V33,X33)</f>
        <v>108.689251448656</v>
      </c>
      <c r="Z33" s="18" t="str">
        <f aca="false">IF(X33&lt;V33,"Asentamiento",IF(T33&lt;=U33,"Falla (FSICP)","Falla (FSB directo)"))</f>
        <v>Asentamiento</v>
      </c>
      <c r="AA33" s="19" t="n">
        <f aca="false">MIN(S33/Entradas!$C$28,AO33)</f>
        <v>666.902605075172</v>
      </c>
      <c r="AB33" s="19" t="n">
        <f aca="false">MIN(S33/Entradas!$C$29,AU33)</f>
        <v>1111.50434179195</v>
      </c>
      <c r="AD33" s="31" t="n">
        <f aca="false">DEGREES(ATAN(TAN(RADIANS(G33))/Entradas!$D$27))</f>
        <v>19.5180400958546</v>
      </c>
      <c r="AE33" s="32" t="n">
        <f aca="false">TAN(RADIANS(45+AD33/2))^2</f>
        <v>2.00347039849336</v>
      </c>
      <c r="AF33" s="31" t="n">
        <f aca="false">EXP(PI()*TAN(RADIANS(AD33)))*AE33</f>
        <v>6.10123070444003</v>
      </c>
      <c r="AG33" s="31" t="n">
        <f aca="false">(AF33-1)/TAN(RADIANS(AD33))</f>
        <v>14.3910293875165</v>
      </c>
      <c r="AH33" s="31" t="n">
        <f aca="false">(AF33-1)*TAN(RADIANS(1.4*AD33))</f>
        <v>2.63578981928614</v>
      </c>
      <c r="AI33" s="19" t="n">
        <f aca="false">F33/Entradas!$D$27*AG33*(1+0.2*AE33*Entradas!$C$22)*(1+0.2*SQRT(AE33)*Entradas!$C$18/D33)+J33*AF33*(1+0.1*AE33*Entradas!$C$22)*(1+0.1*SQRT(AE33)*Entradas!$C$18/D33)+0.5*I33*D33*AH33*(1+0.1*AE33*Entradas!$C$22)*(1+0.1*SQRT(AE33)*Entradas!$C$18/D33)</f>
        <v>561.059685709294</v>
      </c>
      <c r="AJ33" s="31" t="n">
        <f aca="false">DEGREES(ATAN(TAN(RADIANS(G33))/Entradas!$D$28))</f>
        <v>23.0433266381285</v>
      </c>
      <c r="AK33" s="32" t="n">
        <f aca="false">TAN(RADIANS(45+AJ33/2))^2</f>
        <v>2.28637700663594</v>
      </c>
      <c r="AL33" s="31" t="n">
        <f aca="false">EXP(PI()*TAN(RADIANS(AJ33)))*AK33</f>
        <v>8.69979991434377</v>
      </c>
      <c r="AM33" s="31" t="n">
        <f aca="false">(AL33-1)/TAN(RADIANS(AJ33))</f>
        <v>18.1015218459722</v>
      </c>
      <c r="AN33" s="31" t="n">
        <f aca="false">(AL33-1)*TAN(RADIANS(1.4*AJ33))</f>
        <v>4.86021453959288</v>
      </c>
      <c r="AO33" s="19" t="n">
        <f aca="false">F33/Entradas!$D$28*AM33*(1+0.2*AK33*Entradas!$C$22)*(1+0.2*SQRT(AK33)*Entradas!$C$18/D33)+J33*AL33*(1+0.1*AK33*Entradas!$C$22)*(1+0.1*SQRT(AK33)*Entradas!$C$18/D33)+0.5*I33*D33*AN33*(1+0.1*AK33*Entradas!$C$22)*(1+0.1*SQRT(AK33)*Entradas!$C$18/D33)</f>
        <v>875.717449154354</v>
      </c>
      <c r="AP33" s="31" t="n">
        <f aca="false">DEGREES(ATAN(TAN(RADIANS(G33))/Entradas!$D$29))</f>
        <v>25.7978321441296</v>
      </c>
      <c r="AQ33" s="32" t="n">
        <f aca="false">TAN(RADIANS(45+AP33/2))^2</f>
        <v>2.54105789418604</v>
      </c>
      <c r="AR33" s="31" t="n">
        <f aca="false">EXP(PI()*TAN(RADIANS(AP33)))*AQ33</f>
        <v>11.601554222897</v>
      </c>
      <c r="AS33" s="31" t="n">
        <f aca="false">(AR33-1)/TAN(RADIANS(AP33))</f>
        <v>21.9324859608871</v>
      </c>
      <c r="AT33" s="31" t="n">
        <f aca="false">(AR33-1)*TAN(RADIANS(1.4*AP33))</f>
        <v>7.73559561663547</v>
      </c>
      <c r="AU33" s="19" t="n">
        <f aca="false">F33/Entradas!$D$29*AS33*(1+0.2*AQ33*Entradas!$C$22)*(1+0.2*SQRT(AQ33)*Entradas!$C$18/D33)+J33*AR33*(1+0.1*AQ33*Entradas!$C$22)*(1+0.1*SQRT(AQ33)*Entradas!$C$18/D33)+0.5*I33*D33*AT33*(1+0.1*AQ33*Entradas!$C$22)*(1+0.1*SQRT(AQ33)*Entradas!$C$18/D33)</f>
        <v>1247.72049633693</v>
      </c>
    </row>
    <row r="34" customFormat="false" ht="15" hidden="false" customHeight="false" outlineLevel="0" collapsed="false">
      <c r="A34" s="13" t="s">
        <v>80</v>
      </c>
      <c r="B34" s="18" t="s">
        <v>49</v>
      </c>
      <c r="C34" s="18" t="s">
        <v>59</v>
      </c>
      <c r="D34" s="29" t="n">
        <v>3</v>
      </c>
      <c r="E34" s="30" t="s">
        <v>162</v>
      </c>
      <c r="F34" s="21" t="n">
        <f aca="false">Entradas!F10</f>
        <v>25</v>
      </c>
      <c r="G34" s="21" t="n">
        <f aca="false">Entradas!F11</f>
        <v>28</v>
      </c>
      <c r="H34" s="21" t="n">
        <f aca="false">Entradas!F12</f>
        <v>13.5</v>
      </c>
      <c r="I34" s="31" t="n">
        <f aca="false">IF(E34="NF en la base",H34-Entradas!$C$19,H34)</f>
        <v>13.5</v>
      </c>
      <c r="J34" s="15" t="n">
        <f aca="false">H34*Entradas!$C$18</f>
        <v>20.25</v>
      </c>
      <c r="K34" s="32" t="n">
        <f aca="false">TAN(RADIANS(45+G34/2))^2</f>
        <v>2.76982619537291</v>
      </c>
      <c r="L34" s="31" t="n">
        <f aca="false">EXP(PI()*TAN(RADIANS(G34)))*K34</f>
        <v>14.7198808263219</v>
      </c>
      <c r="M34" s="31" t="n">
        <f aca="false">(L34-1)/TAN(RADIANS(G34))</f>
        <v>25.8033429714612</v>
      </c>
      <c r="N34" s="31" t="n">
        <f aca="false">(L34-1)*TAN(RADIANS(1.4*G34))</f>
        <v>11.1896617599086</v>
      </c>
      <c r="O34" s="32" t="n">
        <f aca="false">1+0.2*K34*Entradas!$C$22</f>
        <v>1.55396523907458</v>
      </c>
      <c r="P34" s="32" t="n">
        <f aca="false">1+0.1*K34*Entradas!$C$22</f>
        <v>1.27698261953729</v>
      </c>
      <c r="Q34" s="32" t="n">
        <f aca="false">1+0.2*SQRT(K34)*Entradas!$C$18/D34</f>
        <v>1.16642794823505</v>
      </c>
      <c r="R34" s="32" t="n">
        <f aca="false">1+0.1*SQRT(K34)*Entradas!$C$18/D34</f>
        <v>1.08321397411753</v>
      </c>
      <c r="S34" s="19" t="n">
        <f aca="false">F34*M34*O34*Q34+J34*L34*P34*R34+0.5*I34*D34*N34*P34*R34</f>
        <v>1895.0159943122</v>
      </c>
      <c r="T34" s="19" t="n">
        <f aca="false">S34/Entradas!$C$27</f>
        <v>631.671998104067</v>
      </c>
      <c r="U34" s="19" t="n">
        <f aca="false">AI34</f>
        <v>610.910800497823</v>
      </c>
      <c r="V34" s="19" t="n">
        <f aca="false">MIN(T34,U34)</f>
        <v>610.910800497823</v>
      </c>
      <c r="W34" s="33" t="n">
        <f aca="false">Entradas!F13</f>
        <v>8379</v>
      </c>
      <c r="X34" s="19" t="n">
        <f aca="false">Entradas!$C$20*W34/(Entradas!$C$21*D34*(1-Entradas!F14^2))+J34</f>
        <v>108.689251448656</v>
      </c>
      <c r="Y34" s="16" t="n">
        <f aca="false">MIN(V34,X34)</f>
        <v>108.689251448656</v>
      </c>
      <c r="Z34" s="18" t="str">
        <f aca="false">IF(X34&lt;V34,"Asentamiento",IF(T34&lt;=U34,"Falla (FSICP)","Falla (FSB directo)"))</f>
        <v>Asentamiento</v>
      </c>
      <c r="AA34" s="19" t="n">
        <f aca="false">MIN(S34/Entradas!$C$28,AO34)</f>
        <v>758.006397724881</v>
      </c>
      <c r="AB34" s="19" t="n">
        <f aca="false">MIN(S34/Entradas!$C$29,AU34)</f>
        <v>1263.34399620813</v>
      </c>
      <c r="AD34" s="31" t="n">
        <f aca="false">DEGREES(ATAN(TAN(RADIANS(G34))/Entradas!$D$27))</f>
        <v>19.5180400958546</v>
      </c>
      <c r="AE34" s="32" t="n">
        <f aca="false">TAN(RADIANS(45+AD34/2))^2</f>
        <v>2.00347039849336</v>
      </c>
      <c r="AF34" s="31" t="n">
        <f aca="false">EXP(PI()*TAN(RADIANS(AD34)))*AE34</f>
        <v>6.10123070444003</v>
      </c>
      <c r="AG34" s="31" t="n">
        <f aca="false">(AF34-1)/TAN(RADIANS(AD34))</f>
        <v>14.3910293875165</v>
      </c>
      <c r="AH34" s="31" t="n">
        <f aca="false">(AF34-1)*TAN(RADIANS(1.4*AD34))</f>
        <v>2.63578981928614</v>
      </c>
      <c r="AI34" s="19" t="n">
        <f aca="false">F34/Entradas!$D$27*AG34*(1+0.2*AE34*Entradas!$C$22)*(1+0.2*SQRT(AE34)*Entradas!$C$18/D34)+J34*AF34*(1+0.1*AE34*Entradas!$C$22)*(1+0.1*SQRT(AE34)*Entradas!$C$18/D34)+0.5*I34*D34*AH34*(1+0.1*AE34*Entradas!$C$22)*(1+0.1*SQRT(AE34)*Entradas!$C$18/D34)</f>
        <v>610.910800497823</v>
      </c>
      <c r="AJ34" s="31" t="n">
        <f aca="false">DEGREES(ATAN(TAN(RADIANS(G34))/Entradas!$D$28))</f>
        <v>23.0433266381285</v>
      </c>
      <c r="AK34" s="32" t="n">
        <f aca="false">TAN(RADIANS(45+AJ34/2))^2</f>
        <v>2.28637700663594</v>
      </c>
      <c r="AL34" s="31" t="n">
        <f aca="false">EXP(PI()*TAN(RADIANS(AJ34)))*AK34</f>
        <v>8.69979991434377</v>
      </c>
      <c r="AM34" s="31" t="n">
        <f aca="false">(AL34-1)/TAN(RADIANS(AJ34))</f>
        <v>18.1015218459722</v>
      </c>
      <c r="AN34" s="31" t="n">
        <f aca="false">(AL34-1)*TAN(RADIANS(1.4*AJ34))</f>
        <v>4.86021453959288</v>
      </c>
      <c r="AO34" s="19" t="n">
        <f aca="false">F34/Entradas!$D$28*AM34*(1+0.2*AK34*Entradas!$C$22)*(1+0.2*SQRT(AK34)*Entradas!$C$18/D34)+J34*AL34*(1+0.1*AK34*Entradas!$C$22)*(1+0.1*SQRT(AK34)*Entradas!$C$18/D34)+0.5*I34*D34*AN34*(1+0.1*AK34*Entradas!$C$22)*(1+0.1*SQRT(AK34)*Entradas!$C$18/D34)</f>
        <v>970.230524169135</v>
      </c>
      <c r="AP34" s="31" t="n">
        <f aca="false">DEGREES(ATAN(TAN(RADIANS(G34))/Entradas!$D$29))</f>
        <v>25.7978321441296</v>
      </c>
      <c r="AQ34" s="32" t="n">
        <f aca="false">TAN(RADIANS(45+AP34/2))^2</f>
        <v>2.54105789418604</v>
      </c>
      <c r="AR34" s="31" t="n">
        <f aca="false">EXP(PI()*TAN(RADIANS(AP34)))*AQ34</f>
        <v>11.601554222897</v>
      </c>
      <c r="AS34" s="31" t="n">
        <f aca="false">(AR34-1)/TAN(RADIANS(AP34))</f>
        <v>21.9324859608871</v>
      </c>
      <c r="AT34" s="31" t="n">
        <f aca="false">(AR34-1)*TAN(RADIANS(1.4*AP34))</f>
        <v>7.73559561663547</v>
      </c>
      <c r="AU34" s="19" t="n">
        <f aca="false">F34/Entradas!$D$29*AS34*(1+0.2*AQ34*Entradas!$C$22)*(1+0.2*SQRT(AQ34)*Entradas!$C$18/D34)+J34*AR34*(1+0.1*AQ34*Entradas!$C$22)*(1+0.1*SQRT(AQ34)*Entradas!$C$18/D34)+0.5*I34*D34*AT34*(1+0.1*AQ34*Entradas!$C$22)*(1+0.1*SQRT(AQ34)*Entradas!$C$18/D34)</f>
        <v>1401.85245558273</v>
      </c>
    </row>
    <row r="35" customFormat="false" ht="15" hidden="false" customHeight="false" outlineLevel="0" collapsed="false">
      <c r="A35" s="13" t="s">
        <v>80</v>
      </c>
      <c r="B35" s="18" t="s">
        <v>49</v>
      </c>
      <c r="C35" s="18" t="s">
        <v>44</v>
      </c>
      <c r="D35" s="29" t="n">
        <v>1.5</v>
      </c>
      <c r="E35" s="30" t="s">
        <v>161</v>
      </c>
      <c r="F35" s="21" t="n">
        <f aca="false">Entradas!G10</f>
        <v>35</v>
      </c>
      <c r="G35" s="21" t="n">
        <f aca="false">Entradas!G11</f>
        <v>33</v>
      </c>
      <c r="H35" s="21" t="n">
        <f aca="false">Entradas!G12</f>
        <v>15.6</v>
      </c>
      <c r="I35" s="31" t="n">
        <f aca="false">IF(E35="NF en la base",H35-Entradas!$C$19,H35)</f>
        <v>5.79</v>
      </c>
      <c r="J35" s="15" t="n">
        <f aca="false">H35*Entradas!$C$18</f>
        <v>23.4</v>
      </c>
      <c r="K35" s="32" t="n">
        <f aca="false">TAN(RADIANS(45+G35/2))^2</f>
        <v>3.39211999664047</v>
      </c>
      <c r="L35" s="31" t="n">
        <f aca="false">EXP(PI()*TAN(RADIANS(G35)))*K35</f>
        <v>26.092012099199</v>
      </c>
      <c r="M35" s="31" t="n">
        <f aca="false">(L35-1)/TAN(RADIANS(G35))</f>
        <v>38.6383103031681</v>
      </c>
      <c r="N35" s="31" t="n">
        <f aca="false">(L35-1)*TAN(RADIANS(1.4*G35))</f>
        <v>26.1657082809801</v>
      </c>
      <c r="O35" s="32" t="n">
        <f aca="false">1+0.2*K35*Entradas!$C$22</f>
        <v>1.67842399932809</v>
      </c>
      <c r="P35" s="32" t="n">
        <f aca="false">1+0.1*K35*Entradas!$C$22</f>
        <v>1.33921199966405</v>
      </c>
      <c r="Q35" s="32" t="n">
        <f aca="false">1+0.2*SQRT(K35)*Entradas!$C$18/D35</f>
        <v>1.36835417720669</v>
      </c>
      <c r="R35" s="32" t="n">
        <f aca="false">1+0.1*SQRT(K35)*Entradas!$C$18/D35</f>
        <v>1.18417708860335</v>
      </c>
      <c r="S35" s="19" t="n">
        <f aca="false">F35*M35*O35*Q35+J35*L35*P35*R35+0.5*I35*D35*N35*P35*R35</f>
        <v>4254.33958588085</v>
      </c>
      <c r="T35" s="19" t="n">
        <f aca="false">S35/Entradas!$C$27</f>
        <v>1418.11319529362</v>
      </c>
      <c r="U35" s="19" t="n">
        <f aca="false">AI35</f>
        <v>1158.70737687721</v>
      </c>
      <c r="V35" s="19" t="n">
        <f aca="false">MIN(T35,U35)</f>
        <v>1158.70737687721</v>
      </c>
      <c r="W35" s="33" t="n">
        <f aca="false">Entradas!G13</f>
        <v>14364</v>
      </c>
      <c r="X35" s="19" t="n">
        <f aca="false">Entradas!$C$20*W35/(Entradas!$C$21*D35*(1-Entradas!G14^2))+J35</f>
        <v>326.620290681106</v>
      </c>
      <c r="Y35" s="16" t="n">
        <f aca="false">MIN(V35,X35)</f>
        <v>326.620290681106</v>
      </c>
      <c r="Z35" s="18" t="str">
        <f aca="false">IF(X35&lt;V35,"Asentamiento",IF(T35&lt;=U35,"Falla (FSICP)","Falla (FSB directo)"))</f>
        <v>Asentamiento</v>
      </c>
      <c r="AA35" s="19" t="n">
        <f aca="false">MIN(S35/Entradas!$C$28,AO35)</f>
        <v>1701.73583435234</v>
      </c>
      <c r="AB35" s="19" t="n">
        <f aca="false">MIN(S35/Entradas!$C$29,AU35)</f>
        <v>2836.22639058723</v>
      </c>
      <c r="AD35" s="31" t="n">
        <f aca="false">DEGREES(ATAN(TAN(RADIANS(G35))/Entradas!$D$27))</f>
        <v>23.409639132666</v>
      </c>
      <c r="AE35" s="32" t="n">
        <f aca="false">TAN(RADIANS(45+AD35/2))^2</f>
        <v>2.31841310148095</v>
      </c>
      <c r="AF35" s="31" t="n">
        <f aca="false">EXP(PI()*TAN(RADIANS(AD35)))*AE35</f>
        <v>9.03403423055111</v>
      </c>
      <c r="AG35" s="31" t="n">
        <f aca="false">(AF35-1)/TAN(RADIANS(AD35))</f>
        <v>18.5569917445691</v>
      </c>
      <c r="AH35" s="31" t="n">
        <f aca="false">(AF35-1)*TAN(RADIANS(1.4*AD35))</f>
        <v>5.17232316584162</v>
      </c>
      <c r="AI35" s="19" t="n">
        <f aca="false">F35/Entradas!$D$27*AG35*(1+0.2*AE35*Entradas!$C$22)*(1+0.2*SQRT(AE35)*Entradas!$C$18/D35)+J35*AF35*(1+0.1*AE35*Entradas!$C$22)*(1+0.1*SQRT(AE35)*Entradas!$C$18/D35)+0.5*I35*D35*AH35*(1+0.1*AE35*Entradas!$C$22)*(1+0.1*SQRT(AE35)*Entradas!$C$18/D35)</f>
        <v>1158.70737687721</v>
      </c>
      <c r="AJ35" s="31" t="n">
        <f aca="false">DEGREES(ATAN(TAN(RADIANS(G35))/Entradas!$D$28))</f>
        <v>27.4530531668126</v>
      </c>
      <c r="AK35" s="32" t="n">
        <f aca="false">TAN(RADIANS(45+AJ35/2))^2</f>
        <v>2.7107242717314</v>
      </c>
      <c r="AL35" s="31" t="n">
        <f aca="false">EXP(PI()*TAN(RADIANS(AJ35)))*AK35</f>
        <v>13.8648263868543</v>
      </c>
      <c r="AM35" s="31" t="n">
        <f aca="false">(AL35-1)/TAN(RADIANS(AJ35))</f>
        <v>24.7626192733429</v>
      </c>
      <c r="AN35" s="31" t="n">
        <f aca="false">(AL35-1)*TAN(RADIANS(1.4*AJ35))</f>
        <v>10.2090719270659</v>
      </c>
      <c r="AO35" s="19" t="n">
        <f aca="false">F35/Entradas!$D$28*AM35*(1+0.2*AK35*Entradas!$C$22)*(1+0.2*SQRT(AK35)*Entradas!$C$18/D35)+J35*AL35*(1+0.1*AK35*Entradas!$C$22)*(1+0.1*SQRT(AK35)*Entradas!$C$18/D35)+0.5*I35*D35*AN35*(1+0.1*AK35*Entradas!$C$22)*(1+0.1*SQRT(AK35)*Entradas!$C$18/D35)</f>
        <v>1967.24697232748</v>
      </c>
      <c r="AP35" s="31" t="n">
        <f aca="false">DEGREES(ATAN(TAN(RADIANS(G35))/Entradas!$D$29))</f>
        <v>30.5563506352257</v>
      </c>
      <c r="AQ35" s="32" t="n">
        <f aca="false">TAN(RADIANS(45+AP35/2))^2</f>
        <v>3.06822853071825</v>
      </c>
      <c r="AR35" s="31" t="n">
        <f aca="false">EXP(PI()*TAN(RADIANS(AP35)))*AQ35</f>
        <v>19.6053819592037</v>
      </c>
      <c r="AS35" s="31" t="n">
        <f aca="false">(AR35-1)/TAN(RADIANS(AP35))</f>
        <v>31.5147533991023</v>
      </c>
      <c r="AT35" s="31" t="n">
        <f aca="false">(AR35-1)*TAN(RADIANS(1.4*AP35))</f>
        <v>17.2160444461962</v>
      </c>
      <c r="AU35" s="19" t="n">
        <f aca="false">F35/Entradas!$D$29*AS35*(1+0.2*AQ35*Entradas!$C$22)*(1+0.2*SQRT(AQ35)*Entradas!$C$18/D35)+J35*AR35*(1+0.1*AQ35*Entradas!$C$22)*(1+0.1*SQRT(AQ35)*Entradas!$C$18/D35)+0.5*I35*D35*AT35*(1+0.1*AQ35*Entradas!$C$22)*(1+0.1*SQRT(AQ35)*Entradas!$C$18/D35)</f>
        <v>3004.27785466907</v>
      </c>
    </row>
    <row r="36" customFormat="false" ht="15" hidden="false" customHeight="false" outlineLevel="0" collapsed="false">
      <c r="A36" s="13" t="s">
        <v>80</v>
      </c>
      <c r="B36" s="18" t="s">
        <v>49</v>
      </c>
      <c r="C36" s="18" t="s">
        <v>44</v>
      </c>
      <c r="D36" s="29" t="n">
        <v>1.5</v>
      </c>
      <c r="E36" s="30" t="s">
        <v>162</v>
      </c>
      <c r="F36" s="21" t="n">
        <f aca="false">Entradas!G10</f>
        <v>35</v>
      </c>
      <c r="G36" s="21" t="n">
        <f aca="false">Entradas!G11</f>
        <v>33</v>
      </c>
      <c r="H36" s="21" t="n">
        <f aca="false">Entradas!G12</f>
        <v>15.6</v>
      </c>
      <c r="I36" s="31" t="n">
        <f aca="false">IF(E36="NF en la base",H36-Entradas!$C$19,H36)</f>
        <v>15.6</v>
      </c>
      <c r="J36" s="15" t="n">
        <f aca="false">H36*Entradas!$C$18</f>
        <v>23.4</v>
      </c>
      <c r="K36" s="32" t="n">
        <f aca="false">TAN(RADIANS(45+G36/2))^2</f>
        <v>3.39211999664047</v>
      </c>
      <c r="L36" s="31" t="n">
        <f aca="false">EXP(PI()*TAN(RADIANS(G36)))*K36</f>
        <v>26.092012099199</v>
      </c>
      <c r="M36" s="31" t="n">
        <f aca="false">(L36-1)/TAN(RADIANS(G36))</f>
        <v>38.6383103031681</v>
      </c>
      <c r="N36" s="31" t="n">
        <f aca="false">(L36-1)*TAN(RADIANS(1.4*G36))</f>
        <v>26.1657082809801</v>
      </c>
      <c r="O36" s="32" t="n">
        <f aca="false">1+0.2*K36*Entradas!$C$22</f>
        <v>1.67842399932809</v>
      </c>
      <c r="P36" s="32" t="n">
        <f aca="false">1+0.1*K36*Entradas!$C$22</f>
        <v>1.33921199966405</v>
      </c>
      <c r="Q36" s="32" t="n">
        <f aca="false">1+0.2*SQRT(K36)*Entradas!$C$18/D36</f>
        <v>1.36835417720669</v>
      </c>
      <c r="R36" s="32" t="n">
        <f aca="false">1+0.1*SQRT(K36)*Entradas!$C$18/D36</f>
        <v>1.18417708860335</v>
      </c>
      <c r="S36" s="19" t="n">
        <f aca="false">F36*M36*O36*Q36+J36*L36*P36*R36+0.5*I36*D36*N36*P36*R36</f>
        <v>4559.64095516049</v>
      </c>
      <c r="T36" s="19" t="n">
        <f aca="false">S36/Entradas!$C$27</f>
        <v>1519.88031838683</v>
      </c>
      <c r="U36" s="19" t="n">
        <f aca="false">AI36</f>
        <v>1212.72337919064</v>
      </c>
      <c r="V36" s="19" t="n">
        <f aca="false">MIN(T36,U36)</f>
        <v>1212.72337919064</v>
      </c>
      <c r="W36" s="33" t="n">
        <f aca="false">Entradas!G13</f>
        <v>14364</v>
      </c>
      <c r="X36" s="19" t="n">
        <f aca="false">Entradas!$C$20*W36/(Entradas!$C$21*D36*(1-Entradas!G14^2))+J36</f>
        <v>326.620290681106</v>
      </c>
      <c r="Y36" s="16" t="n">
        <f aca="false">MIN(V36,X36)</f>
        <v>326.620290681106</v>
      </c>
      <c r="Z36" s="18" t="str">
        <f aca="false">IF(X36&lt;V36,"Asentamiento",IF(T36&lt;=U36,"Falla (FSICP)","Falla (FSB directo)"))</f>
        <v>Asentamiento</v>
      </c>
      <c r="AA36" s="19" t="n">
        <f aca="false">MIN(S36/Entradas!$C$28,AO36)</f>
        <v>1823.8563820642</v>
      </c>
      <c r="AB36" s="19" t="n">
        <f aca="false">MIN(S36/Entradas!$C$29,AU36)</f>
        <v>3039.76063677366</v>
      </c>
      <c r="AD36" s="31" t="n">
        <f aca="false">DEGREES(ATAN(TAN(RADIANS(G36))/Entradas!$D$27))</f>
        <v>23.409639132666</v>
      </c>
      <c r="AE36" s="32" t="n">
        <f aca="false">TAN(RADIANS(45+AD36/2))^2</f>
        <v>2.31841310148095</v>
      </c>
      <c r="AF36" s="31" t="n">
        <f aca="false">EXP(PI()*TAN(RADIANS(AD36)))*AE36</f>
        <v>9.03403423055111</v>
      </c>
      <c r="AG36" s="31" t="n">
        <f aca="false">(AF36-1)/TAN(RADIANS(AD36))</f>
        <v>18.5569917445691</v>
      </c>
      <c r="AH36" s="31" t="n">
        <f aca="false">(AF36-1)*TAN(RADIANS(1.4*AD36))</f>
        <v>5.17232316584162</v>
      </c>
      <c r="AI36" s="19" t="n">
        <f aca="false">F36/Entradas!$D$27*AG36*(1+0.2*AE36*Entradas!$C$22)*(1+0.2*SQRT(AE36)*Entradas!$C$18/D36)+J36*AF36*(1+0.1*AE36*Entradas!$C$22)*(1+0.1*SQRT(AE36)*Entradas!$C$18/D36)+0.5*I36*D36*AH36*(1+0.1*AE36*Entradas!$C$22)*(1+0.1*SQRT(AE36)*Entradas!$C$18/D36)</f>
        <v>1212.72337919064</v>
      </c>
      <c r="AJ36" s="31" t="n">
        <f aca="false">DEGREES(ATAN(TAN(RADIANS(G36))/Entradas!$D$28))</f>
        <v>27.4530531668126</v>
      </c>
      <c r="AK36" s="32" t="n">
        <f aca="false">TAN(RADIANS(45+AJ36/2))^2</f>
        <v>2.7107242717314</v>
      </c>
      <c r="AL36" s="31" t="n">
        <f aca="false">EXP(PI()*TAN(RADIANS(AJ36)))*AK36</f>
        <v>13.8648263868543</v>
      </c>
      <c r="AM36" s="31" t="n">
        <f aca="false">(AL36-1)/TAN(RADIANS(AJ36))</f>
        <v>24.7626192733429</v>
      </c>
      <c r="AN36" s="31" t="n">
        <f aca="false">(AL36-1)*TAN(RADIANS(1.4*AJ36))</f>
        <v>10.2090719270659</v>
      </c>
      <c r="AO36" s="19" t="n">
        <f aca="false">F36/Entradas!$D$28*AM36*(1+0.2*AK36*Entradas!$C$22)*(1+0.2*SQRT(AK36)*Entradas!$C$18/D36)+J36*AL36*(1+0.1*AK36*Entradas!$C$22)*(1+0.1*SQRT(AK36)*Entradas!$C$18/D36)+0.5*I36*D36*AN36*(1+0.1*AK36*Entradas!$C$22)*(1+0.1*SQRT(AK36)*Entradas!$C$18/D36)</f>
        <v>2078.44051527912</v>
      </c>
      <c r="AP36" s="31" t="n">
        <f aca="false">DEGREES(ATAN(TAN(RADIANS(G36))/Entradas!$D$29))</f>
        <v>30.5563506352257</v>
      </c>
      <c r="AQ36" s="32" t="n">
        <f aca="false">TAN(RADIANS(45+AP36/2))^2</f>
        <v>3.06822853071825</v>
      </c>
      <c r="AR36" s="31" t="n">
        <f aca="false">EXP(PI()*TAN(RADIANS(AP36)))*AQ36</f>
        <v>19.6053819592037</v>
      </c>
      <c r="AS36" s="31" t="n">
        <f aca="false">(AR36-1)/TAN(RADIANS(AP36))</f>
        <v>31.5147533991023</v>
      </c>
      <c r="AT36" s="31" t="n">
        <f aca="false">(AR36-1)*TAN(RADIANS(1.4*AP36))</f>
        <v>17.2160444461962</v>
      </c>
      <c r="AU36" s="19" t="n">
        <f aca="false">F36/Entradas!$D$29*AS36*(1+0.2*AQ36*Entradas!$C$22)*(1+0.2*SQRT(AQ36)*Entradas!$C$18/D36)+J36*AR36*(1+0.1*AQ36*Entradas!$C$22)*(1+0.1*SQRT(AQ36)*Entradas!$C$18/D36)+0.5*I36*D36*AT36*(1+0.1*AQ36*Entradas!$C$22)*(1+0.1*SQRT(AQ36)*Entradas!$C$18/D36)</f>
        <v>3198.80432024285</v>
      </c>
    </row>
    <row r="37" customFormat="false" ht="15" hidden="false" customHeight="false" outlineLevel="0" collapsed="false">
      <c r="A37" s="13" t="s">
        <v>80</v>
      </c>
      <c r="B37" s="18" t="s">
        <v>49</v>
      </c>
      <c r="C37" s="18" t="s">
        <v>44</v>
      </c>
      <c r="D37" s="29" t="n">
        <v>2</v>
      </c>
      <c r="E37" s="30" t="s">
        <v>161</v>
      </c>
      <c r="F37" s="21" t="n">
        <f aca="false">Entradas!G10</f>
        <v>35</v>
      </c>
      <c r="G37" s="21" t="n">
        <f aca="false">Entradas!G11</f>
        <v>33</v>
      </c>
      <c r="H37" s="21" t="n">
        <f aca="false">Entradas!G12</f>
        <v>15.6</v>
      </c>
      <c r="I37" s="31" t="n">
        <f aca="false">IF(E37="NF en la base",H37-Entradas!$C$19,H37)</f>
        <v>5.79</v>
      </c>
      <c r="J37" s="15" t="n">
        <f aca="false">H37*Entradas!$C$18</f>
        <v>23.4</v>
      </c>
      <c r="K37" s="32" t="n">
        <f aca="false">TAN(RADIANS(45+G37/2))^2</f>
        <v>3.39211999664047</v>
      </c>
      <c r="L37" s="31" t="n">
        <f aca="false">EXP(PI()*TAN(RADIANS(G37)))*K37</f>
        <v>26.092012099199</v>
      </c>
      <c r="M37" s="31" t="n">
        <f aca="false">(L37-1)/TAN(RADIANS(G37))</f>
        <v>38.6383103031681</v>
      </c>
      <c r="N37" s="31" t="n">
        <f aca="false">(L37-1)*TAN(RADIANS(1.4*G37))</f>
        <v>26.1657082809801</v>
      </c>
      <c r="O37" s="32" t="n">
        <f aca="false">1+0.2*K37*Entradas!$C$22</f>
        <v>1.67842399932809</v>
      </c>
      <c r="P37" s="32" t="n">
        <f aca="false">1+0.1*K37*Entradas!$C$22</f>
        <v>1.33921199966405</v>
      </c>
      <c r="Q37" s="32" t="n">
        <f aca="false">1+0.2*SQRT(K37)*Entradas!$C$18/D37</f>
        <v>1.27626563290502</v>
      </c>
      <c r="R37" s="32" t="n">
        <f aca="false">1+0.1*SQRT(K37)*Entradas!$C$18/D37</f>
        <v>1.13813281645251</v>
      </c>
      <c r="S37" s="19" t="n">
        <f aca="false">F37*M37*O37*Q37+J37*L37*P37*R37+0.5*I37*D37*N37*P37*R37</f>
        <v>4058.39079356762</v>
      </c>
      <c r="T37" s="19" t="n">
        <f aca="false">S37/Entradas!$C$27</f>
        <v>1352.79693118921</v>
      </c>
      <c r="U37" s="19" t="n">
        <f aca="false">AI37</f>
        <v>1109.76756132684</v>
      </c>
      <c r="V37" s="19" t="n">
        <f aca="false">MIN(T37,U37)</f>
        <v>1109.76756132684</v>
      </c>
      <c r="W37" s="33" t="n">
        <f aca="false">Entradas!G13</f>
        <v>14364</v>
      </c>
      <c r="X37" s="19" t="n">
        <f aca="false">Entradas!$C$20*W37/(Entradas!$C$21*D37*(1-Entradas!G14^2))+J37</f>
        <v>250.815218010829</v>
      </c>
      <c r="Y37" s="16" t="n">
        <f aca="false">MIN(V37,X37)</f>
        <v>250.815218010829</v>
      </c>
      <c r="Z37" s="18" t="str">
        <f aca="false">IF(X37&lt;V37,"Asentamiento",IF(T37&lt;=U37,"Falla (FSICP)","Falla (FSB directo)"))</f>
        <v>Asentamiento</v>
      </c>
      <c r="AA37" s="19" t="n">
        <f aca="false">MIN(S37/Entradas!$C$28,AO37)</f>
        <v>1623.35631742705</v>
      </c>
      <c r="AB37" s="19" t="n">
        <f aca="false">MIN(S37/Entradas!$C$29,AU37)</f>
        <v>2705.59386237841</v>
      </c>
      <c r="AD37" s="31" t="n">
        <f aca="false">DEGREES(ATAN(TAN(RADIANS(G37))/Entradas!$D$27))</f>
        <v>23.409639132666</v>
      </c>
      <c r="AE37" s="32" t="n">
        <f aca="false">TAN(RADIANS(45+AD37/2))^2</f>
        <v>2.31841310148095</v>
      </c>
      <c r="AF37" s="31" t="n">
        <f aca="false">EXP(PI()*TAN(RADIANS(AD37)))*AE37</f>
        <v>9.03403423055111</v>
      </c>
      <c r="AG37" s="31" t="n">
        <f aca="false">(AF37-1)/TAN(RADIANS(AD37))</f>
        <v>18.5569917445691</v>
      </c>
      <c r="AH37" s="31" t="n">
        <f aca="false">(AF37-1)*TAN(RADIANS(1.4*AD37))</f>
        <v>5.17232316584162</v>
      </c>
      <c r="AI37" s="19" t="n">
        <f aca="false">F37/Entradas!$D$27*AG37*(1+0.2*AE37*Entradas!$C$22)*(1+0.2*SQRT(AE37)*Entradas!$C$18/D37)+J37*AF37*(1+0.1*AE37*Entradas!$C$22)*(1+0.1*SQRT(AE37)*Entradas!$C$18/D37)+0.5*I37*D37*AH37*(1+0.1*AE37*Entradas!$C$22)*(1+0.1*SQRT(AE37)*Entradas!$C$18/D37)</f>
        <v>1109.76756132684</v>
      </c>
      <c r="AJ37" s="31" t="n">
        <f aca="false">DEGREES(ATAN(TAN(RADIANS(G37))/Entradas!$D$28))</f>
        <v>27.4530531668126</v>
      </c>
      <c r="AK37" s="32" t="n">
        <f aca="false">TAN(RADIANS(45+AJ37/2))^2</f>
        <v>2.7107242717314</v>
      </c>
      <c r="AL37" s="31" t="n">
        <f aca="false">EXP(PI()*TAN(RADIANS(AJ37)))*AK37</f>
        <v>13.8648263868543</v>
      </c>
      <c r="AM37" s="31" t="n">
        <f aca="false">(AL37-1)/TAN(RADIANS(AJ37))</f>
        <v>24.7626192733429</v>
      </c>
      <c r="AN37" s="31" t="n">
        <f aca="false">(AL37-1)*TAN(RADIANS(1.4*AJ37))</f>
        <v>10.2090719270659</v>
      </c>
      <c r="AO37" s="19" t="n">
        <f aca="false">F37/Entradas!$D$28*AM37*(1+0.2*AK37*Entradas!$C$22)*(1+0.2*SQRT(AK37)*Entradas!$C$18/D37)+J37*AL37*(1+0.1*AK37*Entradas!$C$22)*(1+0.1*SQRT(AK37)*Entradas!$C$18/D37)+0.5*I37*D37*AN37*(1+0.1*AK37*Entradas!$C$22)*(1+0.1*SQRT(AK37)*Entradas!$C$18/D37)</f>
        <v>1881.03420027548</v>
      </c>
      <c r="AP37" s="31" t="n">
        <f aca="false">DEGREES(ATAN(TAN(RADIANS(G37))/Entradas!$D$29))</f>
        <v>30.5563506352257</v>
      </c>
      <c r="AQ37" s="32" t="n">
        <f aca="false">TAN(RADIANS(45+AP37/2))^2</f>
        <v>3.06822853071825</v>
      </c>
      <c r="AR37" s="31" t="n">
        <f aca="false">EXP(PI()*TAN(RADIANS(AP37)))*AQ37</f>
        <v>19.6053819592037</v>
      </c>
      <c r="AS37" s="31" t="n">
        <f aca="false">(AR37-1)/TAN(RADIANS(AP37))</f>
        <v>31.5147533991023</v>
      </c>
      <c r="AT37" s="31" t="n">
        <f aca="false">(AR37-1)*TAN(RADIANS(1.4*AP37))</f>
        <v>17.2160444461962</v>
      </c>
      <c r="AU37" s="19" t="n">
        <f aca="false">F37/Entradas!$D$29*AS37*(1+0.2*AQ37*Entradas!$C$22)*(1+0.2*SQRT(AQ37)*Entradas!$C$18/D37)+J37*AR37*(1+0.1*AQ37*Entradas!$C$22)*(1+0.1*SQRT(AQ37)*Entradas!$C$18/D37)+0.5*I37*D37*AT37*(1+0.1*AQ37*Entradas!$C$22)*(1+0.1*SQRT(AQ37)*Entradas!$C$18/D37)</f>
        <v>2868.87686935892</v>
      </c>
    </row>
    <row r="38" customFormat="false" ht="15" hidden="false" customHeight="false" outlineLevel="0" collapsed="false">
      <c r="A38" s="13" t="s">
        <v>80</v>
      </c>
      <c r="B38" s="18" t="s">
        <v>49</v>
      </c>
      <c r="C38" s="18" t="s">
        <v>44</v>
      </c>
      <c r="D38" s="29" t="n">
        <v>2</v>
      </c>
      <c r="E38" s="30" t="s">
        <v>162</v>
      </c>
      <c r="F38" s="21" t="n">
        <f aca="false">Entradas!G10</f>
        <v>35</v>
      </c>
      <c r="G38" s="21" t="n">
        <f aca="false">Entradas!G11</f>
        <v>33</v>
      </c>
      <c r="H38" s="21" t="n">
        <f aca="false">Entradas!G12</f>
        <v>15.6</v>
      </c>
      <c r="I38" s="31" t="n">
        <f aca="false">IF(E38="NF en la base",H38-Entradas!$C$19,H38)</f>
        <v>15.6</v>
      </c>
      <c r="J38" s="15" t="n">
        <f aca="false">H38*Entradas!$C$18</f>
        <v>23.4</v>
      </c>
      <c r="K38" s="32" t="n">
        <f aca="false">TAN(RADIANS(45+G38/2))^2</f>
        <v>3.39211999664047</v>
      </c>
      <c r="L38" s="31" t="n">
        <f aca="false">EXP(PI()*TAN(RADIANS(G38)))*K38</f>
        <v>26.092012099199</v>
      </c>
      <c r="M38" s="31" t="n">
        <f aca="false">(L38-1)/TAN(RADIANS(G38))</f>
        <v>38.6383103031681</v>
      </c>
      <c r="N38" s="31" t="n">
        <f aca="false">(L38-1)*TAN(RADIANS(1.4*G38))</f>
        <v>26.1657082809801</v>
      </c>
      <c r="O38" s="32" t="n">
        <f aca="false">1+0.2*K38*Entradas!$C$22</f>
        <v>1.67842399932809</v>
      </c>
      <c r="P38" s="32" t="n">
        <f aca="false">1+0.1*K38*Entradas!$C$22</f>
        <v>1.33921199966405</v>
      </c>
      <c r="Q38" s="32" t="n">
        <f aca="false">1+0.2*SQRT(K38)*Entradas!$C$18/D38</f>
        <v>1.27626563290502</v>
      </c>
      <c r="R38" s="32" t="n">
        <f aca="false">1+0.1*SQRT(K38)*Entradas!$C$18/D38</f>
        <v>1.13813281645251</v>
      </c>
      <c r="S38" s="19" t="n">
        <f aca="false">F38*M38*O38*Q38+J38*L38*P38*R38+0.5*I38*D38*N38*P38*R38</f>
        <v>4449.63127117205</v>
      </c>
      <c r="T38" s="19" t="n">
        <f aca="false">S38/Entradas!$C$27</f>
        <v>1483.21042372402</v>
      </c>
      <c r="U38" s="19" t="n">
        <f aca="false">AI38</f>
        <v>1179.40962163916</v>
      </c>
      <c r="V38" s="19" t="n">
        <f aca="false">MIN(T38,U38)</f>
        <v>1179.40962163916</v>
      </c>
      <c r="W38" s="33" t="n">
        <f aca="false">Entradas!G13</f>
        <v>14364</v>
      </c>
      <c r="X38" s="19" t="n">
        <f aca="false">Entradas!$C$20*W38/(Entradas!$C$21*D38*(1-Entradas!G14^2))+J38</f>
        <v>250.815218010829</v>
      </c>
      <c r="Y38" s="16" t="n">
        <f aca="false">MIN(V38,X38)</f>
        <v>250.815218010829</v>
      </c>
      <c r="Z38" s="18" t="str">
        <f aca="false">IF(X38&lt;V38,"Asentamiento",IF(T38&lt;=U38,"Falla (FSICP)","Falla (FSB directo)"))</f>
        <v>Asentamiento</v>
      </c>
      <c r="AA38" s="19" t="n">
        <f aca="false">MIN(S38/Entradas!$C$28,AO38)</f>
        <v>1779.85250846882</v>
      </c>
      <c r="AB38" s="19" t="n">
        <f aca="false">MIN(S38/Entradas!$C$29,AU38)</f>
        <v>2966.42084744803</v>
      </c>
      <c r="AD38" s="31" t="n">
        <f aca="false">DEGREES(ATAN(TAN(RADIANS(G38))/Entradas!$D$27))</f>
        <v>23.409639132666</v>
      </c>
      <c r="AE38" s="32" t="n">
        <f aca="false">TAN(RADIANS(45+AD38/2))^2</f>
        <v>2.31841310148095</v>
      </c>
      <c r="AF38" s="31" t="n">
        <f aca="false">EXP(PI()*TAN(RADIANS(AD38)))*AE38</f>
        <v>9.03403423055111</v>
      </c>
      <c r="AG38" s="31" t="n">
        <f aca="false">(AF38-1)/TAN(RADIANS(AD38))</f>
        <v>18.5569917445691</v>
      </c>
      <c r="AH38" s="31" t="n">
        <f aca="false">(AF38-1)*TAN(RADIANS(1.4*AD38))</f>
        <v>5.17232316584162</v>
      </c>
      <c r="AI38" s="19" t="n">
        <f aca="false">F38/Entradas!$D$27*AG38*(1+0.2*AE38*Entradas!$C$22)*(1+0.2*SQRT(AE38)*Entradas!$C$18/D38)+J38*AF38*(1+0.1*AE38*Entradas!$C$22)*(1+0.1*SQRT(AE38)*Entradas!$C$18/D38)+0.5*I38*D38*AH38*(1+0.1*AE38*Entradas!$C$22)*(1+0.1*SQRT(AE38)*Entradas!$C$18/D38)</f>
        <v>1179.40962163916</v>
      </c>
      <c r="AJ38" s="31" t="n">
        <f aca="false">DEGREES(ATAN(TAN(RADIANS(G38))/Entradas!$D$28))</f>
        <v>27.4530531668126</v>
      </c>
      <c r="AK38" s="32" t="n">
        <f aca="false">TAN(RADIANS(45+AJ38/2))^2</f>
        <v>2.7107242717314</v>
      </c>
      <c r="AL38" s="31" t="n">
        <f aca="false">EXP(PI()*TAN(RADIANS(AJ38)))*AK38</f>
        <v>13.8648263868543</v>
      </c>
      <c r="AM38" s="31" t="n">
        <f aca="false">(AL38-1)/TAN(RADIANS(AJ38))</f>
        <v>24.7626192733429</v>
      </c>
      <c r="AN38" s="31" t="n">
        <f aca="false">(AL38-1)*TAN(RADIANS(1.4*AJ38))</f>
        <v>10.2090719270659</v>
      </c>
      <c r="AO38" s="19" t="n">
        <f aca="false">F38/Entradas!$D$28*AM38*(1+0.2*AK38*Entradas!$C$22)*(1+0.2*SQRT(AK38)*Entradas!$C$18/D38)+J38*AL38*(1+0.1*AK38*Entradas!$C$22)*(1+0.1*SQRT(AK38)*Entradas!$C$18/D38)+0.5*I38*D38*AN38*(1+0.1*AK38*Entradas!$C$22)*(1+0.1*SQRT(AK38)*Entradas!$C$18/D38)</f>
        <v>2024.05253549383</v>
      </c>
      <c r="AP38" s="31" t="n">
        <f aca="false">DEGREES(ATAN(TAN(RADIANS(G38))/Entradas!$D$29))</f>
        <v>30.5563506352257</v>
      </c>
      <c r="AQ38" s="32" t="n">
        <f aca="false">TAN(RADIANS(45+AP38/2))^2</f>
        <v>3.06822853071825</v>
      </c>
      <c r="AR38" s="31" t="n">
        <f aca="false">EXP(PI()*TAN(RADIANS(AP38)))*AQ38</f>
        <v>19.6053819592037</v>
      </c>
      <c r="AS38" s="31" t="n">
        <f aca="false">(AR38-1)/TAN(RADIANS(AP38))</f>
        <v>31.5147533991023</v>
      </c>
      <c r="AT38" s="31" t="n">
        <f aca="false">(AR38-1)*TAN(RADIANS(1.4*AP38))</f>
        <v>17.2160444461962</v>
      </c>
      <c r="AU38" s="19" t="n">
        <f aca="false">F38/Entradas!$D$29*AS38*(1+0.2*AQ38*Entradas!$C$22)*(1+0.2*SQRT(AQ38)*Entradas!$C$18/D38)+J38*AR38*(1+0.1*AQ38*Entradas!$C$22)*(1+0.1*SQRT(AQ38)*Entradas!$C$18/D38)+0.5*I38*D38*AT38*(1+0.1*AQ38*Entradas!$C$22)*(1+0.1*SQRT(AQ38)*Entradas!$C$18/D38)</f>
        <v>3118.58046552188</v>
      </c>
    </row>
    <row r="39" customFormat="false" ht="15" hidden="false" customHeight="false" outlineLevel="0" collapsed="false">
      <c r="A39" s="13" t="s">
        <v>80</v>
      </c>
      <c r="B39" s="18" t="s">
        <v>49</v>
      </c>
      <c r="C39" s="18" t="s">
        <v>44</v>
      </c>
      <c r="D39" s="29" t="n">
        <v>3</v>
      </c>
      <c r="E39" s="30" t="s">
        <v>161</v>
      </c>
      <c r="F39" s="21" t="n">
        <f aca="false">Entradas!G10</f>
        <v>35</v>
      </c>
      <c r="G39" s="21" t="n">
        <f aca="false">Entradas!G11</f>
        <v>33</v>
      </c>
      <c r="H39" s="21" t="n">
        <f aca="false">Entradas!G12</f>
        <v>15.6</v>
      </c>
      <c r="I39" s="31" t="n">
        <f aca="false">IF(E39="NF en la base",H39-Entradas!$C$19,H39)</f>
        <v>5.79</v>
      </c>
      <c r="J39" s="15" t="n">
        <f aca="false">H39*Entradas!$C$18</f>
        <v>23.4</v>
      </c>
      <c r="K39" s="32" t="n">
        <f aca="false">TAN(RADIANS(45+G39/2))^2</f>
        <v>3.39211999664047</v>
      </c>
      <c r="L39" s="31" t="n">
        <f aca="false">EXP(PI()*TAN(RADIANS(G39)))*K39</f>
        <v>26.092012099199</v>
      </c>
      <c r="M39" s="31" t="n">
        <f aca="false">(L39-1)/TAN(RADIANS(G39))</f>
        <v>38.6383103031681</v>
      </c>
      <c r="N39" s="31" t="n">
        <f aca="false">(L39-1)*TAN(RADIANS(1.4*G39))</f>
        <v>26.1657082809801</v>
      </c>
      <c r="O39" s="32" t="n">
        <f aca="false">1+0.2*K39*Entradas!$C$22</f>
        <v>1.67842399932809</v>
      </c>
      <c r="P39" s="32" t="n">
        <f aca="false">1+0.1*K39*Entradas!$C$22</f>
        <v>1.33921199966405</v>
      </c>
      <c r="Q39" s="32" t="n">
        <f aca="false">1+0.2*SQRT(K39)*Entradas!$C$18/D39</f>
        <v>1.18417708860335</v>
      </c>
      <c r="R39" s="32" t="n">
        <f aca="false">1+0.1*SQRT(K39)*Entradas!$C$18/D39</f>
        <v>1.09208854430167</v>
      </c>
      <c r="S39" s="19" t="n">
        <f aca="false">F39*M39*O39*Q39+J39*L39*P39*R39+0.5*I39*D39*N39*P39*R39</f>
        <v>3913.16447191703</v>
      </c>
      <c r="T39" s="19" t="n">
        <f aca="false">S39/Entradas!$C$27</f>
        <v>1304.38815730568</v>
      </c>
      <c r="U39" s="19" t="n">
        <f aca="false">AI39</f>
        <v>1070.05046502352</v>
      </c>
      <c r="V39" s="19" t="n">
        <f aca="false">MIN(T39,U39)</f>
        <v>1070.05046502352</v>
      </c>
      <c r="W39" s="33" t="n">
        <f aca="false">Entradas!G13</f>
        <v>14364</v>
      </c>
      <c r="X39" s="19" t="n">
        <f aca="false">Entradas!$C$20*W39/(Entradas!$C$21*D39*(1-Entradas!G14^2))+J39</f>
        <v>175.010145340553</v>
      </c>
      <c r="Y39" s="16" t="n">
        <f aca="false">MIN(V39,X39)</f>
        <v>175.010145340553</v>
      </c>
      <c r="Z39" s="18" t="str">
        <f aca="false">IF(X39&lt;V39,"Asentamiento",IF(T39&lt;=U39,"Falla (FSICP)","Falla (FSB directo)"))</f>
        <v>Asentamiento</v>
      </c>
      <c r="AA39" s="19" t="n">
        <f aca="false">MIN(S39/Entradas!$C$28,AO39)</f>
        <v>1565.26578876681</v>
      </c>
      <c r="AB39" s="19" t="n">
        <f aca="false">MIN(S39/Entradas!$C$29,AU39)</f>
        <v>2608.77631461135</v>
      </c>
      <c r="AD39" s="31" t="n">
        <f aca="false">DEGREES(ATAN(TAN(RADIANS(G39))/Entradas!$D$27))</f>
        <v>23.409639132666</v>
      </c>
      <c r="AE39" s="32" t="n">
        <f aca="false">TAN(RADIANS(45+AD39/2))^2</f>
        <v>2.31841310148095</v>
      </c>
      <c r="AF39" s="31" t="n">
        <f aca="false">EXP(PI()*TAN(RADIANS(AD39)))*AE39</f>
        <v>9.03403423055111</v>
      </c>
      <c r="AG39" s="31" t="n">
        <f aca="false">(AF39-1)/TAN(RADIANS(AD39))</f>
        <v>18.5569917445691</v>
      </c>
      <c r="AH39" s="31" t="n">
        <f aca="false">(AF39-1)*TAN(RADIANS(1.4*AD39))</f>
        <v>5.17232316584162</v>
      </c>
      <c r="AI39" s="19" t="n">
        <f aca="false">F39/Entradas!$D$27*AG39*(1+0.2*AE39*Entradas!$C$22)*(1+0.2*SQRT(AE39)*Entradas!$C$18/D39)+J39*AF39*(1+0.1*AE39*Entradas!$C$22)*(1+0.1*SQRT(AE39)*Entradas!$C$18/D39)+0.5*I39*D39*AH39*(1+0.1*AE39*Entradas!$C$22)*(1+0.1*SQRT(AE39)*Entradas!$C$18/D39)</f>
        <v>1070.05046502352</v>
      </c>
      <c r="AJ39" s="31" t="n">
        <f aca="false">DEGREES(ATAN(TAN(RADIANS(G39))/Entradas!$D$28))</f>
        <v>27.4530531668126</v>
      </c>
      <c r="AK39" s="32" t="n">
        <f aca="false">TAN(RADIANS(45+AJ39/2))^2</f>
        <v>2.7107242717314</v>
      </c>
      <c r="AL39" s="31" t="n">
        <f aca="false">EXP(PI()*TAN(RADIANS(AJ39)))*AK39</f>
        <v>13.8648263868543</v>
      </c>
      <c r="AM39" s="31" t="n">
        <f aca="false">(AL39-1)/TAN(RADIANS(AJ39))</f>
        <v>24.7626192733429</v>
      </c>
      <c r="AN39" s="31" t="n">
        <f aca="false">(AL39-1)*TAN(RADIANS(1.4*AJ39))</f>
        <v>10.2090719270659</v>
      </c>
      <c r="AO39" s="19" t="n">
        <f aca="false">F39/Entradas!$D$28*AM39*(1+0.2*AK39*Entradas!$C$22)*(1+0.2*SQRT(AK39)*Entradas!$C$18/D39)+J39*AL39*(1+0.1*AK39*Entradas!$C$22)*(1+0.1*SQRT(AK39)*Entradas!$C$18/D39)+0.5*I39*D39*AN39*(1+0.1*AK39*Entradas!$C$22)*(1+0.1*SQRT(AK39)*Entradas!$C$18/D39)</f>
        <v>1813.60486830751</v>
      </c>
      <c r="AP39" s="31" t="n">
        <f aca="false">DEGREES(ATAN(TAN(RADIANS(G39))/Entradas!$D$29))</f>
        <v>30.5563506352257</v>
      </c>
      <c r="AQ39" s="32" t="n">
        <f aca="false">TAN(RADIANS(45+AP39/2))^2</f>
        <v>3.06822853071825</v>
      </c>
      <c r="AR39" s="31" t="n">
        <f aca="false">EXP(PI()*TAN(RADIANS(AP39)))*AQ39</f>
        <v>19.6053819592037</v>
      </c>
      <c r="AS39" s="31" t="n">
        <f aca="false">(AR39-1)/TAN(RADIANS(AP39))</f>
        <v>31.5147533991023</v>
      </c>
      <c r="AT39" s="31" t="n">
        <f aca="false">(AR39-1)*TAN(RADIANS(1.4*AP39))</f>
        <v>17.2160444461962</v>
      </c>
      <c r="AU39" s="19" t="n">
        <f aca="false">F39/Entradas!$D$29*AS39*(1+0.2*AQ39*Entradas!$C$22)*(1+0.2*SQRT(AQ39)*Entradas!$C$18/D39)+J39*AR39*(1+0.1*AQ39*Entradas!$C$22)*(1+0.1*SQRT(AQ39)*Entradas!$C$18/D39)+0.5*I39*D39*AT39*(1+0.1*AQ39*Entradas!$C$22)*(1+0.1*SQRT(AQ39)*Entradas!$C$18/D39)</f>
        <v>2766.04220271455</v>
      </c>
    </row>
    <row r="40" customFormat="false" ht="15" hidden="false" customHeight="false" outlineLevel="0" collapsed="false">
      <c r="A40" s="13" t="s">
        <v>80</v>
      </c>
      <c r="B40" s="18" t="s">
        <v>49</v>
      </c>
      <c r="C40" s="18" t="s">
        <v>44</v>
      </c>
      <c r="D40" s="29" t="n">
        <v>3</v>
      </c>
      <c r="E40" s="30" t="s">
        <v>162</v>
      </c>
      <c r="F40" s="21" t="n">
        <f aca="false">Entradas!G10</f>
        <v>35</v>
      </c>
      <c r="G40" s="21" t="n">
        <f aca="false">Entradas!G11</f>
        <v>33</v>
      </c>
      <c r="H40" s="21" t="n">
        <f aca="false">Entradas!G12</f>
        <v>15.6</v>
      </c>
      <c r="I40" s="31" t="n">
        <f aca="false">IF(E40="NF en la base",H40-Entradas!$C$19,H40)</f>
        <v>15.6</v>
      </c>
      <c r="J40" s="15" t="n">
        <f aca="false">H40*Entradas!$C$18</f>
        <v>23.4</v>
      </c>
      <c r="K40" s="32" t="n">
        <f aca="false">TAN(RADIANS(45+G40/2))^2</f>
        <v>3.39211999664047</v>
      </c>
      <c r="L40" s="31" t="n">
        <f aca="false">EXP(PI()*TAN(RADIANS(G40)))*K40</f>
        <v>26.092012099199</v>
      </c>
      <c r="M40" s="31" t="n">
        <f aca="false">(L40-1)/TAN(RADIANS(G40))</f>
        <v>38.6383103031681</v>
      </c>
      <c r="N40" s="31" t="n">
        <f aca="false">(L40-1)*TAN(RADIANS(1.4*G40))</f>
        <v>26.1657082809801</v>
      </c>
      <c r="O40" s="32" t="n">
        <f aca="false">1+0.2*K40*Entradas!$C$22</f>
        <v>1.67842399932809</v>
      </c>
      <c r="P40" s="32" t="n">
        <f aca="false">1+0.1*K40*Entradas!$C$22</f>
        <v>1.33921199966405</v>
      </c>
      <c r="Q40" s="32" t="n">
        <f aca="false">1+0.2*SQRT(K40)*Entradas!$C$18/D40</f>
        <v>1.18417708860335</v>
      </c>
      <c r="R40" s="32" t="n">
        <f aca="false">1+0.1*SQRT(K40)*Entradas!$C$18/D40</f>
        <v>1.09208854430167</v>
      </c>
      <c r="S40" s="19" t="n">
        <f aca="false">F40*M40*O40*Q40+J40*L40*P40*R40+0.5*I40*D40*N40*P40*R40</f>
        <v>4476.28316617103</v>
      </c>
      <c r="T40" s="19" t="n">
        <f aca="false">S40/Entradas!$C$27</f>
        <v>1492.09438872368</v>
      </c>
      <c r="U40" s="19" t="n">
        <f aca="false">AI40</f>
        <v>1170.94464133366</v>
      </c>
      <c r="V40" s="19" t="n">
        <f aca="false">MIN(T40,U40)</f>
        <v>1170.94464133366</v>
      </c>
      <c r="W40" s="33" t="n">
        <f aca="false">Entradas!G13</f>
        <v>14364</v>
      </c>
      <c r="X40" s="19" t="n">
        <f aca="false">Entradas!$C$20*W40/(Entradas!$C$21*D40*(1-Entradas!G14^2))+J40</f>
        <v>175.010145340553</v>
      </c>
      <c r="Y40" s="16" t="n">
        <f aca="false">MIN(V40,X40)</f>
        <v>175.010145340553</v>
      </c>
      <c r="Z40" s="18" t="str">
        <f aca="false">IF(X40&lt;V40,"Asentamiento",IF(T40&lt;=U40,"Falla (FSICP)","Falla (FSB directo)"))</f>
        <v>Asentamiento</v>
      </c>
      <c r="AA40" s="19" t="n">
        <f aca="false">MIN(S40/Entradas!$C$28,AO40)</f>
        <v>1790.51326646841</v>
      </c>
      <c r="AB40" s="19" t="n">
        <f aca="false">MIN(S40/Entradas!$C$29,AU40)</f>
        <v>2984.18877744736</v>
      </c>
      <c r="AD40" s="31" t="n">
        <f aca="false">DEGREES(ATAN(TAN(RADIANS(G40))/Entradas!$D$27))</f>
        <v>23.409639132666</v>
      </c>
      <c r="AE40" s="32" t="n">
        <f aca="false">TAN(RADIANS(45+AD40/2))^2</f>
        <v>2.31841310148095</v>
      </c>
      <c r="AF40" s="31" t="n">
        <f aca="false">EXP(PI()*TAN(RADIANS(AD40)))*AE40</f>
        <v>9.03403423055111</v>
      </c>
      <c r="AG40" s="31" t="n">
        <f aca="false">(AF40-1)/TAN(RADIANS(AD40))</f>
        <v>18.5569917445691</v>
      </c>
      <c r="AH40" s="31" t="n">
        <f aca="false">(AF40-1)*TAN(RADIANS(1.4*AD40))</f>
        <v>5.17232316584162</v>
      </c>
      <c r="AI40" s="19" t="n">
        <f aca="false">F40/Entradas!$D$27*AG40*(1+0.2*AE40*Entradas!$C$22)*(1+0.2*SQRT(AE40)*Entradas!$C$18/D40)+J40*AF40*(1+0.1*AE40*Entradas!$C$22)*(1+0.1*SQRT(AE40)*Entradas!$C$18/D40)+0.5*I40*D40*AH40*(1+0.1*AE40*Entradas!$C$22)*(1+0.1*SQRT(AE40)*Entradas!$C$18/D40)</f>
        <v>1170.94464133366</v>
      </c>
      <c r="AJ40" s="31" t="n">
        <f aca="false">DEGREES(ATAN(TAN(RADIANS(G40))/Entradas!$D$28))</f>
        <v>27.4530531668126</v>
      </c>
      <c r="AK40" s="32" t="n">
        <f aca="false">TAN(RADIANS(45+AJ40/2))^2</f>
        <v>2.7107242717314</v>
      </c>
      <c r="AL40" s="31" t="n">
        <f aca="false">EXP(PI()*TAN(RADIANS(AJ40)))*AK40</f>
        <v>13.8648263868543</v>
      </c>
      <c r="AM40" s="31" t="n">
        <f aca="false">(AL40-1)/TAN(RADIANS(AJ40))</f>
        <v>24.7626192733429</v>
      </c>
      <c r="AN40" s="31" t="n">
        <f aca="false">(AL40-1)*TAN(RADIANS(1.4*AJ40))</f>
        <v>10.2090719270659</v>
      </c>
      <c r="AO40" s="19" t="n">
        <f aca="false">F40/Entradas!$D$28*AM40*(1+0.2*AK40*Entradas!$C$22)*(1+0.2*SQRT(AK40)*Entradas!$C$18/D40)+J40*AL40*(1+0.1*AK40*Entradas!$C$22)*(1+0.1*SQRT(AK40)*Entradas!$C$18/D40)+0.5*I40*D40*AN40*(1+0.1*AK40*Entradas!$C$22)*(1+0.1*SQRT(AK40)*Entradas!$C$18/D40)</f>
        <v>2020.27278805928</v>
      </c>
      <c r="AP40" s="31" t="n">
        <f aca="false">DEGREES(ATAN(TAN(RADIANS(G40))/Entradas!$D$29))</f>
        <v>30.5563506352257</v>
      </c>
      <c r="AQ40" s="32" t="n">
        <f aca="false">TAN(RADIANS(45+AP40/2))^2</f>
        <v>3.06822853071825</v>
      </c>
      <c r="AR40" s="31" t="n">
        <f aca="false">EXP(PI()*TAN(RADIANS(AP40)))*AQ40</f>
        <v>19.6053819592037</v>
      </c>
      <c r="AS40" s="31" t="n">
        <f aca="false">(AR40-1)/TAN(RADIANS(AP40))</f>
        <v>31.5147533991023</v>
      </c>
      <c r="AT40" s="31" t="n">
        <f aca="false">(AR40-1)*TAN(RADIANS(1.4*AP40))</f>
        <v>17.2160444461962</v>
      </c>
      <c r="AU40" s="19" t="n">
        <f aca="false">F40/Entradas!$D$29*AS40*(1+0.2*AQ40*Entradas!$C$22)*(1+0.2*SQRT(AQ40)*Entradas!$C$18/D40)+J40*AR40*(1+0.1*AQ40*Entradas!$C$22)*(1+0.1*SQRT(AQ40)*Entradas!$C$18/D40)+0.5*I40*D40*AT40*(1+0.1*AQ40*Entradas!$C$22)*(1+0.1*SQRT(AQ40)*Entradas!$C$18/D40)</f>
        <v>3126.10006005589</v>
      </c>
    </row>
    <row r="42" customFormat="false" ht="15" hidden="false" customHeight="false" outlineLevel="0" collapsed="false">
      <c r="A42" s="11" t="s">
        <v>163</v>
      </c>
    </row>
    <row r="43" customFormat="false" ht="15" hidden="false" customHeight="false" outlineLevel="0" collapsed="false">
      <c r="A43" s="11" t="s">
        <v>164</v>
      </c>
    </row>
    <row r="44" customFormat="false" ht="15" hidden="false" customHeight="false" outlineLevel="0" collapsed="false">
      <c r="A44" s="11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10" t="s">
        <v>166</v>
      </c>
    </row>
    <row r="2" customFormat="false" ht="15" hidden="false" customHeight="false" outlineLevel="0" collapsed="false">
      <c r="A2" s="11" t="s">
        <v>167</v>
      </c>
    </row>
    <row r="4" customFormat="false" ht="43.5" hidden="false" customHeight="true" outlineLevel="0" collapsed="false">
      <c r="A4" s="12" t="s">
        <v>56</v>
      </c>
      <c r="B4" s="12" t="s">
        <v>118</v>
      </c>
      <c r="C4" s="12" t="s">
        <v>119</v>
      </c>
      <c r="D4" s="12" t="s">
        <v>108</v>
      </c>
      <c r="E4" s="12" t="s">
        <v>168</v>
      </c>
      <c r="F4" s="12" t="s">
        <v>133</v>
      </c>
      <c r="G4" s="12" t="s">
        <v>169</v>
      </c>
      <c r="H4" s="12" t="s">
        <v>170</v>
      </c>
      <c r="I4" s="12" t="s">
        <v>171</v>
      </c>
      <c r="J4" s="12" t="s">
        <v>172</v>
      </c>
      <c r="K4" s="12" t="s">
        <v>173</v>
      </c>
      <c r="L4" s="12" t="s">
        <v>126</v>
      </c>
      <c r="M4" s="12" t="s">
        <v>127</v>
      </c>
      <c r="N4" s="12" t="s">
        <v>128</v>
      </c>
      <c r="O4" s="12" t="s">
        <v>174</v>
      </c>
      <c r="P4" s="12" t="s">
        <v>175</v>
      </c>
    </row>
    <row r="5" customFormat="false" ht="27.75" hidden="false" customHeight="true" outlineLevel="0" collapsed="false">
      <c r="A5" s="13" t="s">
        <v>62</v>
      </c>
      <c r="B5" s="18" t="s">
        <v>41</v>
      </c>
      <c r="C5" s="18" t="s">
        <v>161</v>
      </c>
      <c r="D5" s="14" t="s">
        <v>111</v>
      </c>
      <c r="E5" s="21" t="n">
        <f aca="false">Entradas!$C$27</f>
        <v>3</v>
      </c>
      <c r="F5" s="33" t="n">
        <f aca="false">Cálculo!S7</f>
        <v>533.479824085621</v>
      </c>
      <c r="G5" s="32" t="n">
        <v>1.5869</v>
      </c>
      <c r="H5" s="34" t="n">
        <f aca="false">Entradas!$D$27</f>
        <v>1.5</v>
      </c>
      <c r="I5" s="31" t="n">
        <f aca="false">Cálculo!F7/G5</f>
        <v>0</v>
      </c>
      <c r="J5" s="31" t="n">
        <f aca="false">DEGREES(ATAN(TAN(RADIANS(Cálculo!G7))/G5))</f>
        <v>17.800903334728</v>
      </c>
      <c r="K5" s="32" t="n">
        <f aca="false">TAN(RADIANS(45+J5/2))^2</f>
        <v>1.88064196705113</v>
      </c>
      <c r="L5" s="31" t="n">
        <f aca="false">EXP(PI()*TAN(RADIANS(J5)))*K5</f>
        <v>5.1568342902549</v>
      </c>
      <c r="M5" s="31" t="n">
        <f aca="false">(L5-1)/TAN(RADIANS(J5))</f>
        <v>12.9463216052325</v>
      </c>
      <c r="N5" s="31" t="n">
        <f aca="false">(L5-1)*TAN(RADIANS(1.4*J5))</f>
        <v>1.93141373396043</v>
      </c>
      <c r="O5" s="32" t="n">
        <f aca="false">F5/(I5*M5*(1+0.2*K5*Entradas!$C$22)*(1+0.2*SQRT(K5)*Entradas!$C$18/2)+Cálculo!J7*L5*(1+0.1*K5*Entradas!$C$22)*(1+0.1*SQRT(K5)*Entradas!$C$18/2)+0.5*Cálculo!I7*2*N5*(1+0.1*K5*Entradas!$C$22)*(1+0.1*SQRT(K5)*Entradas!$C$18/2))</f>
        <v>2.99998125070627</v>
      </c>
      <c r="P5" s="35" t="str">
        <f aca="false">IF(G5&gt;=H5,"Sí","NO")</f>
        <v>Sí</v>
      </c>
    </row>
    <row r="6" customFormat="false" ht="27.75" hidden="false" customHeight="true" outlineLevel="0" collapsed="false">
      <c r="A6" s="13" t="s">
        <v>62</v>
      </c>
      <c r="B6" s="18" t="s">
        <v>41</v>
      </c>
      <c r="C6" s="18" t="s">
        <v>161</v>
      </c>
      <c r="D6" s="14" t="s">
        <v>112</v>
      </c>
      <c r="E6" s="21" t="n">
        <f aca="false">Entradas!$C$28</f>
        <v>2.5</v>
      </c>
      <c r="F6" s="33" t="n">
        <f aca="false">Cálculo!S7</f>
        <v>533.479824085621</v>
      </c>
      <c r="G6" s="32" t="n">
        <v>1.4462</v>
      </c>
      <c r="H6" s="34" t="n">
        <f aca="false">Entradas!$D$28</f>
        <v>1.25</v>
      </c>
      <c r="I6" s="31" t="n">
        <f aca="false">Cálculo!F7/G6</f>
        <v>0</v>
      </c>
      <c r="J6" s="31" t="n">
        <f aca="false">DEGREES(ATAN(TAN(RADIANS(Cálculo!G7))/G6))</f>
        <v>19.4083895914851</v>
      </c>
      <c r="K6" s="32" t="n">
        <f aca="false">TAN(RADIANS(45+J6/2))^2</f>
        <v>1.99535378978859</v>
      </c>
      <c r="L6" s="31" t="n">
        <f aca="false">EXP(PI()*TAN(RADIANS(J6)))*K6</f>
        <v>6.03555535875729</v>
      </c>
      <c r="M6" s="31" t="n">
        <f aca="false">(L6-1)/TAN(RADIANS(J6))</f>
        <v>14.2925543111943</v>
      </c>
      <c r="N6" s="31" t="n">
        <f aca="false">(L6-1)*TAN(RADIANS(1.4*J6))</f>
        <v>2.58478563885219</v>
      </c>
      <c r="O6" s="32" t="n">
        <f aca="false">F6/(I6*M6*(1+0.2*K6*Entradas!$C$22)*(1+0.2*SQRT(K6)*Entradas!$C$18/2)+Cálculo!J7*L6*(1+0.1*K6*Entradas!$C$22)*(1+0.1*SQRT(K6)*Entradas!$C$18/2)+0.5*Cálculo!I7*2*N6*(1+0.1*K6*Entradas!$C$22)*(1+0.1*SQRT(K6)*Entradas!$C$18/2))</f>
        <v>2.50001560353424</v>
      </c>
      <c r="P6" s="35" t="str">
        <f aca="false">IF(G6&gt;=H6,"Sí","NO")</f>
        <v>Sí</v>
      </c>
    </row>
    <row r="7" customFormat="false" ht="27.75" hidden="false" customHeight="true" outlineLevel="0" collapsed="false">
      <c r="A7" s="13" t="s">
        <v>62</v>
      </c>
      <c r="B7" s="18" t="s">
        <v>41</v>
      </c>
      <c r="C7" s="18" t="s">
        <v>161</v>
      </c>
      <c r="D7" s="14" t="s">
        <v>113</v>
      </c>
      <c r="E7" s="21" t="n">
        <f aca="false">Entradas!$C$29</f>
        <v>1.5</v>
      </c>
      <c r="F7" s="33" t="n">
        <f aca="false">Cálculo!S7</f>
        <v>533.479824085621</v>
      </c>
      <c r="G7" s="32" t="n">
        <v>1.1583</v>
      </c>
      <c r="H7" s="34" t="n">
        <f aca="false">Entradas!$D$29</f>
        <v>1.1</v>
      </c>
      <c r="I7" s="31" t="n">
        <f aca="false">Cálculo!F7/G7</f>
        <v>0</v>
      </c>
      <c r="J7" s="31" t="n">
        <f aca="false">DEGREES(ATAN(TAN(RADIANS(Cálculo!G7))/G7))</f>
        <v>23.744249750726</v>
      </c>
      <c r="K7" s="32" t="n">
        <f aca="false">TAN(RADIANS(45+J7/2))^2</f>
        <v>2.34814791944852</v>
      </c>
      <c r="L7" s="31" t="n">
        <f aca="false">EXP(PI()*TAN(RADIANS(J7)))*K7</f>
        <v>9.35194581052243</v>
      </c>
      <c r="M7" s="31" t="n">
        <f aca="false">(L7-1)/TAN(RADIANS(J7))</f>
        <v>18.9864094952021</v>
      </c>
      <c r="N7" s="31" t="n">
        <f aca="false">(L7-1)*TAN(RADIANS(1.4*J7))</f>
        <v>5.47409785689256</v>
      </c>
      <c r="O7" s="32" t="n">
        <f aca="false">F7/(I7*M7*(1+0.2*K7*Entradas!$C$22)*(1+0.2*SQRT(K7)*Entradas!$C$18/2)+Cálculo!J7*L7*(1+0.1*K7*Entradas!$C$22)*(1+0.1*SQRT(K7)*Entradas!$C$18/2)+0.5*Cálculo!I7*2*N7*(1+0.1*K7*Entradas!$C$22)*(1+0.1*SQRT(K7)*Entradas!$C$18/2))</f>
        <v>1.50000396257313</v>
      </c>
      <c r="P7" s="35" t="str">
        <f aca="false">IF(G7&gt;=H7,"Sí","NO")</f>
        <v>Sí</v>
      </c>
    </row>
    <row r="8" customFormat="false" ht="27.75" hidden="false" customHeight="true" outlineLevel="0" collapsed="false">
      <c r="A8" s="13" t="s">
        <v>62</v>
      </c>
      <c r="B8" s="18" t="s">
        <v>41</v>
      </c>
      <c r="C8" s="18" t="s">
        <v>162</v>
      </c>
      <c r="D8" s="14" t="s">
        <v>111</v>
      </c>
      <c r="E8" s="21" t="n">
        <f aca="false">Entradas!$C$27</f>
        <v>3</v>
      </c>
      <c r="F8" s="33" t="n">
        <f aca="false">Cálculo!S8</f>
        <v>665.414413495881</v>
      </c>
      <c r="G8" s="32" t="n">
        <v>1.5195</v>
      </c>
      <c r="H8" s="34" t="n">
        <f aca="false">Entradas!$D$27</f>
        <v>1.5</v>
      </c>
      <c r="I8" s="31" t="n">
        <f aca="false">Cálculo!F8/G8</f>
        <v>0</v>
      </c>
      <c r="J8" s="31" t="n">
        <f aca="false">DEGREES(ATAN(TAN(RADIANS(Cálculo!G8))/G8))</f>
        <v>18.5375599701406</v>
      </c>
      <c r="K8" s="32" t="n">
        <f aca="false">TAN(RADIANS(45+J8/2))^2</f>
        <v>1.93223426494044</v>
      </c>
      <c r="L8" s="31" t="n">
        <f aca="false">EXP(PI()*TAN(RADIANS(J8)))*K8</f>
        <v>5.54074907760414</v>
      </c>
      <c r="M8" s="31" t="n">
        <f aca="false">(L8-1)/TAN(RADIANS(J8))</f>
        <v>13.5413613397831</v>
      </c>
      <c r="N8" s="31" t="n">
        <f aca="false">(L8-1)*TAN(RADIANS(1.4*J8))</f>
        <v>2.21002149778459</v>
      </c>
      <c r="O8" s="32" t="n">
        <f aca="false">F8/(I8*M8*(1+0.2*K8*Entradas!$C$22)*(1+0.2*SQRT(K8)*Entradas!$C$18/2)+Cálculo!J8*L8*(1+0.1*K8*Entradas!$C$22)*(1+0.1*SQRT(K8)*Entradas!$C$18/2)+0.5*Cálculo!I8*2*N8*(1+0.1*K8*Entradas!$C$22)*(1+0.1*SQRT(K8)*Entradas!$C$18/2))</f>
        <v>2.99998170839653</v>
      </c>
      <c r="P8" s="35" t="str">
        <f aca="false">IF(G8&gt;=H8,"Sí","NO")</f>
        <v>Sí</v>
      </c>
    </row>
    <row r="9" customFormat="false" ht="27.75" hidden="false" customHeight="true" outlineLevel="0" collapsed="false">
      <c r="A9" s="13" t="s">
        <v>62</v>
      </c>
      <c r="B9" s="18" t="s">
        <v>41</v>
      </c>
      <c r="C9" s="18" t="s">
        <v>162</v>
      </c>
      <c r="D9" s="14" t="s">
        <v>112</v>
      </c>
      <c r="E9" s="21" t="n">
        <f aca="false">Entradas!$C$28</f>
        <v>2.5</v>
      </c>
      <c r="F9" s="33" t="n">
        <f aca="false">Cálculo!S8</f>
        <v>665.414413495881</v>
      </c>
      <c r="G9" s="32" t="n">
        <v>1.3994</v>
      </c>
      <c r="H9" s="34" t="n">
        <f aca="false">Entradas!$D$28</f>
        <v>1.25</v>
      </c>
      <c r="I9" s="31" t="n">
        <f aca="false">Cálculo!F8/G9</f>
        <v>0</v>
      </c>
      <c r="J9" s="31" t="n">
        <f aca="false">DEGREES(ATAN(TAN(RADIANS(Cálculo!G8))/G9))</f>
        <v>20.0067063525388</v>
      </c>
      <c r="K9" s="32" t="n">
        <f aca="false">TAN(RADIANS(45+J9/2))^2</f>
        <v>2.04011490932957</v>
      </c>
      <c r="L9" s="31" t="n">
        <f aca="false">EXP(PI()*TAN(RADIANS(J9)))*K9</f>
        <v>6.40365420010212</v>
      </c>
      <c r="M9" s="31" t="n">
        <f aca="false">(L9-1)/TAN(RADIANS(J9))</f>
        <v>14.8410127406317</v>
      </c>
      <c r="N9" s="31" t="n">
        <f aca="false">(L9-1)*TAN(RADIANS(1.4*J9))</f>
        <v>2.87430982252647</v>
      </c>
      <c r="O9" s="32" t="n">
        <f aca="false">F9/(I9*M9*(1+0.2*K9*Entradas!$C$22)*(1+0.2*SQRT(K9)*Entradas!$C$18/2)+Cálculo!J8*L9*(1+0.1*K9*Entradas!$C$22)*(1+0.1*SQRT(K9)*Entradas!$C$18/2)+0.5*Cálculo!I8*2*N9*(1+0.1*K9*Entradas!$C$22)*(1+0.1*SQRT(K9)*Entradas!$C$18/2))</f>
        <v>2.49998747910051</v>
      </c>
      <c r="P9" s="35" t="str">
        <f aca="false">IF(G9&gt;=H9,"Sí","NO")</f>
        <v>Sí</v>
      </c>
    </row>
    <row r="10" customFormat="false" ht="27.75" hidden="false" customHeight="true" outlineLevel="0" collapsed="false">
      <c r="A10" s="13" t="s">
        <v>62</v>
      </c>
      <c r="B10" s="18" t="s">
        <v>41</v>
      </c>
      <c r="C10" s="18" t="s">
        <v>162</v>
      </c>
      <c r="D10" s="14" t="s">
        <v>113</v>
      </c>
      <c r="E10" s="21" t="n">
        <f aca="false">Entradas!$C$29</f>
        <v>1.5</v>
      </c>
      <c r="F10" s="33" t="n">
        <f aca="false">Cálculo!S8</f>
        <v>665.414413495881</v>
      </c>
      <c r="G10" s="32" t="n">
        <v>1.145</v>
      </c>
      <c r="H10" s="34" t="n">
        <f aca="false">Entradas!$D$29</f>
        <v>1.1</v>
      </c>
      <c r="I10" s="31" t="n">
        <f aca="false">Cálculo!F8/G10</f>
        <v>0</v>
      </c>
      <c r="J10" s="31" t="n">
        <f aca="false">DEGREES(ATAN(TAN(RADIANS(Cálculo!G8))/G10))</f>
        <v>23.9890827843608</v>
      </c>
      <c r="K10" s="32" t="n">
        <f aca="false">TAN(RADIANS(45+J10/2))^2</f>
        <v>2.37019522273581</v>
      </c>
      <c r="L10" s="31" t="n">
        <f aca="false">EXP(PI()*TAN(RADIANS(J10)))*K10</f>
        <v>9.59250714857712</v>
      </c>
      <c r="M10" s="31" t="n">
        <f aca="false">(L10-1)/TAN(RADIANS(J10))</f>
        <v>19.3089877941973</v>
      </c>
      <c r="N10" s="31" t="n">
        <f aca="false">(L10-1)*TAN(RADIANS(1.4*J10))</f>
        <v>5.70554476736184</v>
      </c>
      <c r="O10" s="32" t="n">
        <f aca="false">F10/(I10*M10*(1+0.2*K10*Entradas!$C$22)*(1+0.2*SQRT(K10)*Entradas!$C$18/2)+Cálculo!J8*L10*(1+0.1*K10*Entradas!$C$22)*(1+0.1*SQRT(K10)*Entradas!$C$18/2)+0.5*Cálculo!I8*2*N10*(1+0.1*K10*Entradas!$C$22)*(1+0.1*SQRT(K10)*Entradas!$C$18/2))</f>
        <v>1.49991418549351</v>
      </c>
      <c r="P10" s="35" t="str">
        <f aca="false">IF(G10&gt;=H10,"Sí","NO")</f>
        <v>Sí</v>
      </c>
    </row>
    <row r="11" customFormat="false" ht="27.75" hidden="false" customHeight="true" outlineLevel="0" collapsed="false">
      <c r="A11" s="13" t="s">
        <v>62</v>
      </c>
      <c r="B11" s="18" t="s">
        <v>59</v>
      </c>
      <c r="C11" s="18" t="s">
        <v>161</v>
      </c>
      <c r="D11" s="14" t="s">
        <v>111</v>
      </c>
      <c r="E11" s="21" t="n">
        <f aca="false">Entradas!$C$27</f>
        <v>3</v>
      </c>
      <c r="F11" s="33" t="n">
        <f aca="false">Cálculo!S13</f>
        <v>1765.99483319881</v>
      </c>
      <c r="G11" s="32" t="n">
        <v>1.4611</v>
      </c>
      <c r="H11" s="34" t="n">
        <f aca="false">Entradas!$D$27</f>
        <v>1.5</v>
      </c>
      <c r="I11" s="31" t="n">
        <f aca="false">Cálculo!F13/G11</f>
        <v>10.2662377660667</v>
      </c>
      <c r="J11" s="31" t="n">
        <f aca="false">DEGREES(ATAN(TAN(RADIANS(Cálculo!G13))/G11))</f>
        <v>21.5613387727316</v>
      </c>
      <c r="K11" s="32" t="n">
        <f aca="false">TAN(RADIANS(45+J11/2))^2</f>
        <v>2.16204077627136</v>
      </c>
      <c r="L11" s="31" t="n">
        <f aca="false">EXP(PI()*TAN(RADIANS(J11)))*K11</f>
        <v>7.4815920857301</v>
      </c>
      <c r="M11" s="31" t="n">
        <f aca="false">(L11-1)/TAN(RADIANS(J11))</f>
        <v>16.4029614288615</v>
      </c>
      <c r="N11" s="31" t="n">
        <f aca="false">(L11-1)*TAN(RADIANS(1.4*J11))</f>
        <v>3.77023771198976</v>
      </c>
      <c r="O11" s="32" t="n">
        <f aca="false">F11/(I11*M11*(1+0.2*K11*Entradas!$C$22)*(1+0.2*SQRT(K11)*Entradas!$C$18/2)+Cálculo!J13*L11*(1+0.1*K11*Entradas!$C$22)*(1+0.1*SQRT(K11)*Entradas!$C$18/2)+0.5*Cálculo!I13*2*N11*(1+0.1*K11*Entradas!$C$22)*(1+0.1*SQRT(K11)*Entradas!$C$18/2))</f>
        <v>3.00015304374284</v>
      </c>
      <c r="P11" s="35" t="str">
        <f aca="false">IF(G11&gt;=H11,"Sí","NO")</f>
        <v>NO</v>
      </c>
    </row>
    <row r="12" customFormat="false" ht="27.75" hidden="false" customHeight="true" outlineLevel="0" collapsed="false">
      <c r="A12" s="13" t="s">
        <v>62</v>
      </c>
      <c r="B12" s="18" t="s">
        <v>59</v>
      </c>
      <c r="C12" s="18" t="s">
        <v>161</v>
      </c>
      <c r="D12" s="14" t="s">
        <v>112</v>
      </c>
      <c r="E12" s="21" t="n">
        <f aca="false">Entradas!$C$28</f>
        <v>2.5</v>
      </c>
      <c r="F12" s="33" t="n">
        <f aca="false">Cálculo!S13</f>
        <v>1765.99483319881</v>
      </c>
      <c r="G12" s="32" t="n">
        <v>1.3592</v>
      </c>
      <c r="H12" s="34" t="n">
        <f aca="false">Entradas!$D$28</f>
        <v>1.25</v>
      </c>
      <c r="I12" s="31" t="n">
        <f aca="false">Cálculo!F13/G12</f>
        <v>11.035903472631</v>
      </c>
      <c r="J12" s="31" t="n">
        <f aca="false">DEGREES(ATAN(TAN(RADIANS(Cálculo!G13))/G12))</f>
        <v>23.014432207298</v>
      </c>
      <c r="K12" s="32" t="n">
        <f aca="false">TAN(RADIANS(45+J12/2))^2</f>
        <v>2.28387263775374</v>
      </c>
      <c r="L12" s="31" t="n">
        <f aca="false">EXP(PI()*TAN(RADIANS(J12)))*K12</f>
        <v>8.67403003101426</v>
      </c>
      <c r="M12" s="31" t="n">
        <f aca="false">(L12-1)/TAN(RADIANS(J12))</f>
        <v>18.0662280331054</v>
      </c>
      <c r="N12" s="31" t="n">
        <f aca="false">(L12-1)*TAN(RADIANS(1.4*J12))</f>
        <v>4.8363748615097</v>
      </c>
      <c r="O12" s="32" t="n">
        <f aca="false">F12/(I12*M12*(1+0.2*K12*Entradas!$C$22)*(1+0.2*SQRT(K12)*Entradas!$C$18/2)+Cálculo!J13*L12*(1+0.1*K12*Entradas!$C$22)*(1+0.1*SQRT(K12)*Entradas!$C$18/2)+0.5*Cálculo!I13*2*N12*(1+0.1*K12*Entradas!$C$22)*(1+0.1*SQRT(K12)*Entradas!$C$18/2))</f>
        <v>2.50018595904561</v>
      </c>
      <c r="P12" s="35" t="str">
        <f aca="false">IF(G12&gt;=H12,"Sí","NO")</f>
        <v>Sí</v>
      </c>
    </row>
    <row r="13" customFormat="false" ht="27.75" hidden="false" customHeight="true" outlineLevel="0" collapsed="false">
      <c r="A13" s="13" t="s">
        <v>62</v>
      </c>
      <c r="B13" s="18" t="s">
        <v>59</v>
      </c>
      <c r="C13" s="18" t="s">
        <v>161</v>
      </c>
      <c r="D13" s="14" t="s">
        <v>113</v>
      </c>
      <c r="E13" s="21" t="n">
        <f aca="false">Entradas!$C$29</f>
        <v>1.5</v>
      </c>
      <c r="F13" s="33" t="n">
        <f aca="false">Cálculo!S13</f>
        <v>1765.99483319881</v>
      </c>
      <c r="G13" s="32" t="n">
        <v>1.1339</v>
      </c>
      <c r="H13" s="34" t="n">
        <f aca="false">Entradas!$D$29</f>
        <v>1.1</v>
      </c>
      <c r="I13" s="31" t="n">
        <f aca="false">Cálculo!F13/G13</f>
        <v>13.2286797777582</v>
      </c>
      <c r="J13" s="31" t="n">
        <f aca="false">DEGREES(ATAN(TAN(RADIANS(Cálculo!G13))/G13))</f>
        <v>26.9839260045888</v>
      </c>
      <c r="K13" s="32" t="n">
        <f aca="false">TAN(RADIANS(45+J13/2))^2</f>
        <v>2.66126365894749</v>
      </c>
      <c r="L13" s="31" t="n">
        <f aca="false">EXP(PI()*TAN(RADIANS(J13)))*K13</f>
        <v>13.1762038989241</v>
      </c>
      <c r="M13" s="31" t="n">
        <f aca="false">(L13-1)/TAN(RADIANS(J13))</f>
        <v>23.9137285245733</v>
      </c>
      <c r="N13" s="31" t="n">
        <f aca="false">(L13-1)*TAN(RADIANS(1.4*J13))</f>
        <v>9.43717443467235</v>
      </c>
      <c r="O13" s="32" t="n">
        <f aca="false">F13/(I13*M13*(1+0.2*K13*Entradas!$C$22)*(1+0.2*SQRT(K13)*Entradas!$C$18/2)+Cálculo!J13*L13*(1+0.1*K13*Entradas!$C$22)*(1+0.1*SQRT(K13)*Entradas!$C$18/2)+0.5*Cálculo!I13*2*N13*(1+0.1*K13*Entradas!$C$22)*(1+0.1*SQRT(K13)*Entradas!$C$18/2))</f>
        <v>1.50014409519645</v>
      </c>
      <c r="P13" s="35" t="str">
        <f aca="false">IF(G13&gt;=H13,"Sí","NO")</f>
        <v>Sí</v>
      </c>
    </row>
    <row r="14" customFormat="false" ht="27.75" hidden="false" customHeight="true" outlineLevel="0" collapsed="false">
      <c r="A14" s="13" t="s">
        <v>62</v>
      </c>
      <c r="B14" s="18" t="s">
        <v>59</v>
      </c>
      <c r="C14" s="18" t="s">
        <v>162</v>
      </c>
      <c r="D14" s="14" t="s">
        <v>111</v>
      </c>
      <c r="E14" s="21" t="n">
        <f aca="false">Entradas!$C$27</f>
        <v>3</v>
      </c>
      <c r="F14" s="33" t="n">
        <f aca="false">Cálculo!S14</f>
        <v>1991.76602594073</v>
      </c>
      <c r="G14" s="32" t="n">
        <v>1.4389</v>
      </c>
      <c r="H14" s="34" t="n">
        <f aca="false">Entradas!$D$27</f>
        <v>1.5</v>
      </c>
      <c r="I14" s="31" t="n">
        <f aca="false">Cálculo!F14/G14</f>
        <v>10.4246299256376</v>
      </c>
      <c r="J14" s="31" t="n">
        <f aca="false">DEGREES(ATAN(TAN(RADIANS(Cálculo!G14))/G14))</f>
        <v>21.8628374212691</v>
      </c>
      <c r="K14" s="32" t="n">
        <f aca="false">TAN(RADIANS(45+J14/2))^2</f>
        <v>2.18667155951298</v>
      </c>
      <c r="L14" s="31" t="n">
        <f aca="false">EXP(PI()*TAN(RADIANS(J14)))*K14</f>
        <v>7.71314765663453</v>
      </c>
      <c r="M14" s="31" t="n">
        <f aca="false">(L14-1)/TAN(RADIANS(J14))</f>
        <v>16.7308281967022</v>
      </c>
      <c r="N14" s="31" t="n">
        <f aca="false">(L14-1)*TAN(RADIANS(1.4*J14))</f>
        <v>3.97140536023544</v>
      </c>
      <c r="O14" s="32" t="n">
        <f aca="false">F14/(I14*M14*(1+0.2*K14*Entradas!$C$22)*(1+0.2*SQRT(K14)*Entradas!$C$18/2)+Cálculo!J14*L14*(1+0.1*K14*Entradas!$C$22)*(1+0.1*SQRT(K14)*Entradas!$C$18/2)+0.5*Cálculo!I14*2*N14*(1+0.1*K14*Entradas!$C$22)*(1+0.1*SQRT(K14)*Entradas!$C$18/2))</f>
        <v>2.99976435016548</v>
      </c>
      <c r="P14" s="35" t="str">
        <f aca="false">IF(G14&gt;=H14,"Sí","NO")</f>
        <v>NO</v>
      </c>
    </row>
    <row r="15" customFormat="false" ht="27.75" hidden="false" customHeight="true" outlineLevel="0" collapsed="false">
      <c r="A15" s="13" t="s">
        <v>62</v>
      </c>
      <c r="B15" s="18" t="s">
        <v>59</v>
      </c>
      <c r="C15" s="18" t="s">
        <v>162</v>
      </c>
      <c r="D15" s="14" t="s">
        <v>112</v>
      </c>
      <c r="E15" s="21" t="n">
        <f aca="false">Entradas!$C$28</f>
        <v>2.5</v>
      </c>
      <c r="F15" s="33" t="n">
        <f aca="false">Cálculo!S14</f>
        <v>1991.76602594073</v>
      </c>
      <c r="G15" s="32" t="n">
        <v>1.343</v>
      </c>
      <c r="H15" s="34" t="n">
        <f aca="false">Entradas!$D$28</f>
        <v>1.25</v>
      </c>
      <c r="I15" s="31" t="n">
        <f aca="false">Cálculo!F14/G15</f>
        <v>11.1690245718541</v>
      </c>
      <c r="J15" s="31" t="n">
        <f aca="false">DEGREES(ATAN(TAN(RADIANS(Cálculo!G14))/G15))</f>
        <v>23.262673587891</v>
      </c>
      <c r="K15" s="32" t="n">
        <f aca="false">TAN(RADIANS(45+J15/2))^2</f>
        <v>2.30549598603834</v>
      </c>
      <c r="L15" s="31" t="n">
        <f aca="false">EXP(PI()*TAN(RADIANS(J15)))*K15</f>
        <v>8.8982427147524</v>
      </c>
      <c r="M15" s="31" t="n">
        <f aca="false">(L15-1)/TAN(RADIANS(J15))</f>
        <v>18.3724517541163</v>
      </c>
      <c r="N15" s="31" t="n">
        <f aca="false">(L15-1)*TAN(RADIANS(1.4*J15))</f>
        <v>5.04487391606304</v>
      </c>
      <c r="O15" s="32" t="n">
        <f aca="false">F15/(I15*M15*(1+0.2*K15*Entradas!$C$22)*(1+0.2*SQRT(K15)*Entradas!$C$18/2)+Cálculo!J14*L15*(1+0.1*K15*Entradas!$C$22)*(1+0.1*SQRT(K15)*Entradas!$C$18/2)+0.5*Cálculo!I14*2*N15*(1+0.1*K15*Entradas!$C$22)*(1+0.1*SQRT(K15)*Entradas!$C$18/2))</f>
        <v>2.50009392112115</v>
      </c>
      <c r="P15" s="35" t="str">
        <f aca="false">IF(G15&gt;=H15,"Sí","NO")</f>
        <v>Sí</v>
      </c>
    </row>
    <row r="16" customFormat="false" ht="27.75" hidden="false" customHeight="true" outlineLevel="0" collapsed="false">
      <c r="A16" s="13" t="s">
        <v>62</v>
      </c>
      <c r="B16" s="18" t="s">
        <v>59</v>
      </c>
      <c r="C16" s="18" t="s">
        <v>162</v>
      </c>
      <c r="D16" s="14" t="s">
        <v>113</v>
      </c>
      <c r="E16" s="21" t="n">
        <f aca="false">Entradas!$C$29</f>
        <v>1.5</v>
      </c>
      <c r="F16" s="33" t="n">
        <f aca="false">Cálculo!S14</f>
        <v>1991.76602594073</v>
      </c>
      <c r="G16" s="32" t="n">
        <v>1.1287</v>
      </c>
      <c r="H16" s="34" t="n">
        <f aca="false">Entradas!$D$29</f>
        <v>1.1</v>
      </c>
      <c r="I16" s="31" t="n">
        <f aca="false">Cálculo!F14/G16</f>
        <v>13.2896252325684</v>
      </c>
      <c r="J16" s="31" t="n">
        <f aca="false">DEGREES(ATAN(TAN(RADIANS(Cálculo!G14))/G16))</f>
        <v>27.0905575531685</v>
      </c>
      <c r="K16" s="32" t="n">
        <f aca="false">TAN(RADIANS(45+J16/2))^2</f>
        <v>2.67240793556488</v>
      </c>
      <c r="L16" s="31" t="n">
        <f aca="false">EXP(PI()*TAN(RADIANS(J16)))*K16</f>
        <v>13.3292495444748</v>
      </c>
      <c r="M16" s="31" t="n">
        <f aca="false">(L16-1)/TAN(RADIANS(J16))</f>
        <v>24.1032605395358</v>
      </c>
      <c r="N16" s="31" t="n">
        <f aca="false">(L16-1)*TAN(RADIANS(1.4*J16))</f>
        <v>9.6073175022831</v>
      </c>
      <c r="O16" s="32" t="n">
        <f aca="false">F16/(I16*M16*(1+0.2*K16*Entradas!$C$22)*(1+0.2*SQRT(K16)*Entradas!$C$18/2)+Cálculo!J14*L16*(1+0.1*K16*Entradas!$C$22)*(1+0.1*SQRT(K16)*Entradas!$C$18/2)+0.5*Cálculo!I14*2*N16*(1+0.1*K16*Entradas!$C$22)*(1+0.1*SQRT(K16)*Entradas!$C$18/2))</f>
        <v>1.4998837084522</v>
      </c>
      <c r="P16" s="35" t="str">
        <f aca="false">IF(G16&gt;=H16,"Sí","NO")</f>
        <v>Sí</v>
      </c>
    </row>
    <row r="17" customFormat="false" ht="27.75" hidden="false" customHeight="true" outlineLevel="0" collapsed="false">
      <c r="A17" s="13" t="s">
        <v>62</v>
      </c>
      <c r="B17" s="18" t="s">
        <v>44</v>
      </c>
      <c r="C17" s="18" t="s">
        <v>161</v>
      </c>
      <c r="D17" s="14" t="s">
        <v>111</v>
      </c>
      <c r="E17" s="21" t="n">
        <f aca="false">Entradas!$C$27</f>
        <v>3</v>
      </c>
      <c r="F17" s="33" t="n">
        <f aca="false">Cálculo!S19</f>
        <v>3372.03025334715</v>
      </c>
      <c r="G17" s="32" t="n">
        <v>1.4139</v>
      </c>
      <c r="H17" s="34" t="n">
        <f aca="false">Entradas!$D$27</f>
        <v>1.5</v>
      </c>
      <c r="I17" s="31" t="n">
        <f aca="false">Cálculo!F19/G17</f>
        <v>20.510644317137</v>
      </c>
      <c r="J17" s="31" t="n">
        <f aca="false">DEGREES(ATAN(TAN(RADIANS(Cálculo!G19))/G17))</f>
        <v>23.8429048036356</v>
      </c>
      <c r="K17" s="32" t="n">
        <f aca="false">TAN(RADIANS(45+J17/2))^2</f>
        <v>2.35700205803554</v>
      </c>
      <c r="L17" s="31" t="n">
        <f aca="false">EXP(PI()*TAN(RADIANS(J17)))*K17</f>
        <v>9.44805623798192</v>
      </c>
      <c r="M17" s="31" t="n">
        <f aca="false">(L17-1)/TAN(RADIANS(J17))</f>
        <v>19.1155265950952</v>
      </c>
      <c r="N17" s="31" t="n">
        <f aca="false">(L17-1)*TAN(RADIANS(1.4*J17))</f>
        <v>5.56625075387816</v>
      </c>
      <c r="O17" s="32" t="n">
        <f aca="false">F17/(I17*M17*(1+0.2*K17*Entradas!$C$22)*(1+0.2*SQRT(K17)*Entradas!$C$18/2)+Cálculo!J19*L17*(1+0.1*K17*Entradas!$C$22)*(1+0.1*SQRT(K17)*Entradas!$C$18/2)+0.5*Cálculo!I19*2*N17*(1+0.1*K17*Entradas!$C$22)*(1+0.1*SQRT(K17)*Entradas!$C$18/2))</f>
        <v>2.99979846053977</v>
      </c>
      <c r="P17" s="35" t="str">
        <f aca="false">IF(G17&gt;=H17,"Sí","NO")</f>
        <v>NO</v>
      </c>
    </row>
    <row r="18" customFormat="false" ht="27.75" hidden="false" customHeight="true" outlineLevel="0" collapsed="false">
      <c r="A18" s="13" t="s">
        <v>62</v>
      </c>
      <c r="B18" s="18" t="s">
        <v>44</v>
      </c>
      <c r="C18" s="18" t="s">
        <v>161</v>
      </c>
      <c r="D18" s="14" t="s">
        <v>112</v>
      </c>
      <c r="E18" s="21" t="n">
        <f aca="false">Entradas!$C$28</f>
        <v>2.5</v>
      </c>
      <c r="F18" s="33" t="n">
        <f aca="false">Cálculo!S19</f>
        <v>3372.03025334715</v>
      </c>
      <c r="G18" s="32" t="n">
        <v>1.3248</v>
      </c>
      <c r="H18" s="34" t="n">
        <f aca="false">Entradas!$D$28</f>
        <v>1.25</v>
      </c>
      <c r="I18" s="31" t="n">
        <f aca="false">Cálculo!F19/G18</f>
        <v>21.8900966183575</v>
      </c>
      <c r="J18" s="31" t="n">
        <f aca="false">DEGREES(ATAN(TAN(RADIANS(Cálculo!G19))/G18))</f>
        <v>25.2518788881548</v>
      </c>
      <c r="K18" s="32" t="n">
        <f aca="false">TAN(RADIANS(45+J18/2))^2</f>
        <v>2.48795677840918</v>
      </c>
      <c r="L18" s="31" t="n">
        <f aca="false">EXP(PI()*TAN(RADIANS(J18)))*K18</f>
        <v>10.9491193570124</v>
      </c>
      <c r="M18" s="31" t="n">
        <f aca="false">(L18-1)/TAN(RADIANS(J18))</f>
        <v>21.0933586099172</v>
      </c>
      <c r="N18" s="31" t="n">
        <f aca="false">(L18-1)*TAN(RADIANS(1.4*J18))</f>
        <v>7.05809867511673</v>
      </c>
      <c r="O18" s="32" t="n">
        <f aca="false">F18/(I18*M18*(1+0.2*K18*Entradas!$C$22)*(1+0.2*SQRT(K18)*Entradas!$C$18/2)+Cálculo!J19*L18*(1+0.1*K18*Entradas!$C$22)*(1+0.1*SQRT(K18)*Entradas!$C$18/2)+0.5*Cálculo!I19*2*N18*(1+0.1*K18*Entradas!$C$22)*(1+0.1*SQRT(K18)*Entradas!$C$18/2))</f>
        <v>2.5002541774509</v>
      </c>
      <c r="P18" s="35" t="str">
        <f aca="false">IF(G18&gt;=H18,"Sí","NO")</f>
        <v>Sí</v>
      </c>
    </row>
    <row r="19" customFormat="false" ht="27.75" hidden="false" customHeight="true" outlineLevel="0" collapsed="false">
      <c r="A19" s="13" t="s">
        <v>62</v>
      </c>
      <c r="B19" s="18" t="s">
        <v>44</v>
      </c>
      <c r="C19" s="18" t="s">
        <v>161</v>
      </c>
      <c r="D19" s="14" t="s">
        <v>113</v>
      </c>
      <c r="E19" s="21" t="n">
        <f aca="false">Entradas!$C$29</f>
        <v>1.5</v>
      </c>
      <c r="F19" s="33" t="n">
        <f aca="false">Cálculo!S19</f>
        <v>3372.03025334715</v>
      </c>
      <c r="G19" s="32" t="n">
        <v>1.123</v>
      </c>
      <c r="H19" s="34" t="n">
        <f aca="false">Entradas!$D$29</f>
        <v>1.1</v>
      </c>
      <c r="I19" s="31" t="n">
        <f aca="false">Cálculo!F19/G19</f>
        <v>25.8236865538736</v>
      </c>
      <c r="J19" s="31" t="n">
        <f aca="false">DEGREES(ATAN(TAN(RADIANS(Cálculo!G19))/G19))</f>
        <v>29.0928154370149</v>
      </c>
      <c r="K19" s="32" t="n">
        <f aca="false">TAN(RADIANS(45+J19/2))^2</f>
        <v>2.89276075193217</v>
      </c>
      <c r="L19" s="31" t="n">
        <f aca="false">EXP(PI()*TAN(RADIANS(J19)))*K19</f>
        <v>16.6146264864359</v>
      </c>
      <c r="M19" s="31" t="n">
        <f aca="false">(L19-1)/TAN(RADIANS(J19))</f>
        <v>28.0622269130139</v>
      </c>
      <c r="N19" s="31" t="n">
        <f aca="false">(L19-1)*TAN(RADIANS(1.4*J19))</f>
        <v>13.4449008276085</v>
      </c>
      <c r="O19" s="32" t="n">
        <f aca="false">F19/(I19*M19*(1+0.2*K19*Entradas!$C$22)*(1+0.2*SQRT(K19)*Entradas!$C$18/2)+Cálculo!J19*L19*(1+0.1*K19*Entradas!$C$22)*(1+0.1*SQRT(K19)*Entradas!$C$18/2)+0.5*Cálculo!I19*2*N19*(1+0.1*K19*Entradas!$C$22)*(1+0.1*SQRT(K19)*Entradas!$C$18/2))</f>
        <v>1.50002242010314</v>
      </c>
      <c r="P19" s="35" t="str">
        <f aca="false">IF(G19&gt;=H19,"Sí","NO")</f>
        <v>Sí</v>
      </c>
    </row>
    <row r="20" customFormat="false" ht="27.75" hidden="false" customHeight="true" outlineLevel="0" collapsed="false">
      <c r="A20" s="13" t="s">
        <v>62</v>
      </c>
      <c r="B20" s="18" t="s">
        <v>44</v>
      </c>
      <c r="C20" s="18" t="s">
        <v>162</v>
      </c>
      <c r="D20" s="14" t="s">
        <v>111</v>
      </c>
      <c r="E20" s="21" t="n">
        <f aca="false">Entradas!$C$27</f>
        <v>3</v>
      </c>
      <c r="F20" s="33" t="n">
        <f aca="false">Cálculo!S20</f>
        <v>3697.12780586827</v>
      </c>
      <c r="G20" s="32" t="n">
        <v>1.4002</v>
      </c>
      <c r="H20" s="34" t="n">
        <f aca="false">Entradas!$D$27</f>
        <v>1.5</v>
      </c>
      <c r="I20" s="31" t="n">
        <f aca="false">Cálculo!F20/G20</f>
        <v>20.7113269532924</v>
      </c>
      <c r="J20" s="31" t="n">
        <f aca="false">DEGREES(ATAN(TAN(RADIANS(Cálculo!G20))/G20))</f>
        <v>24.0498449345185</v>
      </c>
      <c r="K20" s="32" t="n">
        <f aca="false">TAN(RADIANS(45+J20/2))^2</f>
        <v>2.37570538676003</v>
      </c>
      <c r="L20" s="31" t="n">
        <f aca="false">EXP(PI()*TAN(RADIANS(J20)))*K20</f>
        <v>9.65327908208219</v>
      </c>
      <c r="M20" s="31" t="n">
        <f aca="false">(L20-1)/TAN(RADIANS(J20))</f>
        <v>19.3901674545396</v>
      </c>
      <c r="N20" s="31" t="n">
        <f aca="false">(L20-1)*TAN(RADIANS(1.4*J20))</f>
        <v>5.76442863830572</v>
      </c>
      <c r="O20" s="32" t="n">
        <f aca="false">F20/(I20*M20*(1+0.2*K20*Entradas!$C$22)*(1+0.2*SQRT(K20)*Entradas!$C$18/2)+Cálculo!J20*L20*(1+0.1*K20*Entradas!$C$22)*(1+0.1*SQRT(K20)*Entradas!$C$18/2)+0.5*Cálculo!I20*2*N20*(1+0.1*K20*Entradas!$C$22)*(1+0.1*SQRT(K20)*Entradas!$C$18/2))</f>
        <v>2.99975477138129</v>
      </c>
      <c r="P20" s="35" t="str">
        <f aca="false">IF(G20&gt;=H20,"Sí","NO")</f>
        <v>NO</v>
      </c>
    </row>
    <row r="21" customFormat="false" ht="27.75" hidden="false" customHeight="true" outlineLevel="0" collapsed="false">
      <c r="A21" s="13" t="s">
        <v>62</v>
      </c>
      <c r="B21" s="18" t="s">
        <v>44</v>
      </c>
      <c r="C21" s="18" t="s">
        <v>162</v>
      </c>
      <c r="D21" s="14" t="s">
        <v>112</v>
      </c>
      <c r="E21" s="21" t="n">
        <f aca="false">Entradas!$C$28</f>
        <v>2.5</v>
      </c>
      <c r="F21" s="33" t="n">
        <f aca="false">Cálculo!S20</f>
        <v>3697.12780586827</v>
      </c>
      <c r="G21" s="32" t="n">
        <v>1.3146</v>
      </c>
      <c r="H21" s="34" t="n">
        <f aca="false">Entradas!$D$28</f>
        <v>1.25</v>
      </c>
      <c r="I21" s="31" t="n">
        <f aca="false">Cálculo!F20/G21</f>
        <v>22.0599421877377</v>
      </c>
      <c r="J21" s="31" t="n">
        <f aca="false">DEGREES(ATAN(TAN(RADIANS(Cálculo!G20))/G21))</f>
        <v>25.4231620277443</v>
      </c>
      <c r="K21" s="32" t="n">
        <f aca="false">TAN(RADIANS(45+J21/2))^2</f>
        <v>2.50446988520054</v>
      </c>
      <c r="L21" s="31" t="n">
        <f aca="false">EXP(PI()*TAN(RADIANS(J21)))*K21</f>
        <v>11.1492429798671</v>
      </c>
      <c r="M21" s="31" t="n">
        <f aca="false">(L21-1)/TAN(RADIANS(J21))</f>
        <v>21.3519750657724</v>
      </c>
      <c r="N21" s="31" t="n">
        <f aca="false">(L21-1)*TAN(RADIANS(1.4*J21))</f>
        <v>7.2641154204654</v>
      </c>
      <c r="O21" s="32" t="n">
        <f aca="false">F21/(I21*M21*(1+0.2*K21*Entradas!$C$22)*(1+0.2*SQRT(K21)*Entradas!$C$18/2)+Cálculo!J20*L21*(1+0.1*K21*Entradas!$C$22)*(1+0.1*SQRT(K21)*Entradas!$C$18/2)+0.5*Cálculo!I20*2*N21*(1+0.1*K21*Entradas!$C$22)*(1+0.1*SQRT(K21)*Entradas!$C$18/2))</f>
        <v>2.50011690391269</v>
      </c>
      <c r="P21" s="35" t="str">
        <f aca="false">IF(G21&gt;=H21,"Sí","NO")</f>
        <v>Sí</v>
      </c>
    </row>
    <row r="22" customFormat="false" ht="27.75" hidden="false" customHeight="true" outlineLevel="0" collapsed="false">
      <c r="A22" s="13" t="s">
        <v>62</v>
      </c>
      <c r="B22" s="18" t="s">
        <v>44</v>
      </c>
      <c r="C22" s="18" t="s">
        <v>162</v>
      </c>
      <c r="D22" s="14" t="s">
        <v>113</v>
      </c>
      <c r="E22" s="21" t="n">
        <f aca="false">Entradas!$C$29</f>
        <v>1.5</v>
      </c>
      <c r="F22" s="33" t="n">
        <f aca="false">Cálculo!S20</f>
        <v>3697.12780586827</v>
      </c>
      <c r="G22" s="32" t="n">
        <v>1.1196</v>
      </c>
      <c r="H22" s="34" t="n">
        <f aca="false">Entradas!$D$29</f>
        <v>1.1</v>
      </c>
      <c r="I22" s="31" t="n">
        <f aca="false">Cálculo!F20/G22</f>
        <v>25.902107895677</v>
      </c>
      <c r="J22" s="31" t="n">
        <f aca="false">DEGREES(ATAN(TAN(RADIANS(Cálculo!G20))/G22))</f>
        <v>29.1666897203342</v>
      </c>
      <c r="K22" s="32" t="n">
        <f aca="false">TAN(RADIANS(45+J22/2))^2</f>
        <v>2.90131302911652</v>
      </c>
      <c r="L22" s="31" t="n">
        <f aca="false">EXP(PI()*TAN(RADIANS(J22)))*K22</f>
        <v>16.7524420882885</v>
      </c>
      <c r="M22" s="31" t="n">
        <f aca="false">(L22-1)/TAN(RADIANS(J22))</f>
        <v>28.2241945586842</v>
      </c>
      <c r="N22" s="31" t="n">
        <f aca="false">(L22-1)*TAN(RADIANS(1.4*J22))</f>
        <v>13.6131593611694</v>
      </c>
      <c r="O22" s="32" t="n">
        <f aca="false">F22/(I22*M22*(1+0.2*K22*Entradas!$C$22)*(1+0.2*SQRT(K22)*Entradas!$C$18/2)+Cálculo!J20*L22*(1+0.1*K22*Entradas!$C$22)*(1+0.1*SQRT(K22)*Entradas!$C$18/2)+0.5*Cálculo!I20*2*N22*(1+0.1*K22*Entradas!$C$22)*(1+0.1*SQRT(K22)*Entradas!$C$18/2))</f>
        <v>1.4998138591596</v>
      </c>
      <c r="P22" s="35" t="str">
        <f aca="false">IF(G22&gt;=H22,"Sí","NO")</f>
        <v>Sí</v>
      </c>
    </row>
    <row r="23" customFormat="false" ht="27.75" hidden="false" customHeight="true" outlineLevel="0" collapsed="false">
      <c r="A23" s="13" t="s">
        <v>80</v>
      </c>
      <c r="B23" s="18" t="s">
        <v>41</v>
      </c>
      <c r="C23" s="18" t="s">
        <v>161</v>
      </c>
      <c r="D23" s="14" t="s">
        <v>111</v>
      </c>
      <c r="E23" s="21" t="n">
        <f aca="false">Entradas!$C$27</f>
        <v>3</v>
      </c>
      <c r="F23" s="33" t="n">
        <f aca="false">Cálculo!S25</f>
        <v>708.885503478834</v>
      </c>
      <c r="G23" s="32" t="n">
        <v>1.6707</v>
      </c>
      <c r="H23" s="34" t="n">
        <f aca="false">Entradas!$D$27</f>
        <v>1.5</v>
      </c>
      <c r="I23" s="31" t="n">
        <f aca="false">Cálculo!F25/G23</f>
        <v>8.97827258035554</v>
      </c>
      <c r="J23" s="31" t="n">
        <f aca="false">DEGREES(ATAN(TAN(RADIANS(Cálculo!G25))/G23))</f>
        <v>14.2555111216381</v>
      </c>
      <c r="K23" s="32" t="n">
        <f aca="false">TAN(RADIANS(45+J23/2))^2</f>
        <v>1.65338741615248</v>
      </c>
      <c r="L23" s="31" t="n">
        <f aca="false">EXP(PI()*TAN(RADIANS(J23)))*K23</f>
        <v>3.67300722831528</v>
      </c>
      <c r="M23" s="31" t="n">
        <f aca="false">(L23-1)/TAN(RADIANS(J23))</f>
        <v>10.5207494197751</v>
      </c>
      <c r="N23" s="31" t="n">
        <f aca="false">(L23-1)*TAN(RADIANS(1.4*J23))</f>
        <v>0.970661650258977</v>
      </c>
      <c r="O23" s="32" t="n">
        <f aca="false">F23/(I23*M23*(1+0.2*K23*Entradas!$C$22)*(1+0.2*SQRT(K23)*Entradas!$C$18/2)+Cálculo!J25*L23*(1+0.1*K23*Entradas!$C$22)*(1+0.1*SQRT(K23)*Entradas!$C$18/2)+0.5*Cálculo!I25*2*N23*(1+0.1*K23*Entradas!$C$22)*(1+0.1*SQRT(K23)*Entradas!$C$18/2))</f>
        <v>2.99993629660674</v>
      </c>
      <c r="P23" s="35" t="str">
        <f aca="false">IF(G23&gt;=H23,"Sí","NO")</f>
        <v>Sí</v>
      </c>
    </row>
    <row r="24" customFormat="false" ht="27.75" hidden="false" customHeight="true" outlineLevel="0" collapsed="false">
      <c r="A24" s="13" t="s">
        <v>80</v>
      </c>
      <c r="B24" s="18" t="s">
        <v>41</v>
      </c>
      <c r="C24" s="18" t="s">
        <v>161</v>
      </c>
      <c r="D24" s="14" t="s">
        <v>112</v>
      </c>
      <c r="E24" s="21" t="n">
        <f aca="false">Entradas!$C$28</f>
        <v>2.5</v>
      </c>
      <c r="F24" s="33" t="n">
        <f aca="false">Cálculo!S25</f>
        <v>708.885503478834</v>
      </c>
      <c r="G24" s="32" t="n">
        <v>1.5111</v>
      </c>
      <c r="H24" s="34" t="n">
        <f aca="false">Entradas!$D$28</f>
        <v>1.25</v>
      </c>
      <c r="I24" s="31" t="n">
        <f aca="false">Cálculo!F25/G24</f>
        <v>9.92654357752631</v>
      </c>
      <c r="J24" s="31" t="n">
        <f aca="false">DEGREES(ATAN(TAN(RADIANS(Cálculo!G25))/G24))</f>
        <v>15.6902924955281</v>
      </c>
      <c r="K24" s="32" t="n">
        <f aca="false">TAN(RADIANS(45+J24/2))^2</f>
        <v>1.74136835202523</v>
      </c>
      <c r="L24" s="31" t="n">
        <f aca="false">EXP(PI()*TAN(RADIANS(J24)))*K24</f>
        <v>4.20872091780547</v>
      </c>
      <c r="M24" s="31" t="n">
        <f aca="false">(L24-1)/TAN(RADIANS(J24))</f>
        <v>11.4228170759171</v>
      </c>
      <c r="N24" s="31" t="n">
        <f aca="false">(L24-1)*TAN(RADIANS(1.4*J24))</f>
        <v>1.29421968421168</v>
      </c>
      <c r="O24" s="32" t="n">
        <f aca="false">F24/(I24*M24*(1+0.2*K24*Entradas!$C$22)*(1+0.2*SQRT(K24)*Entradas!$C$18/2)+Cálculo!J25*L24*(1+0.1*K24*Entradas!$C$22)*(1+0.1*SQRT(K24)*Entradas!$C$18/2)+0.5*Cálculo!I25*2*N24*(1+0.1*K24*Entradas!$C$22)*(1+0.1*SQRT(K24)*Entradas!$C$18/2))</f>
        <v>2.49987144129457</v>
      </c>
      <c r="P24" s="35" t="str">
        <f aca="false">IF(G24&gt;=H24,"Sí","NO")</f>
        <v>Sí</v>
      </c>
    </row>
    <row r="25" customFormat="false" ht="27.75" hidden="false" customHeight="true" outlineLevel="0" collapsed="false">
      <c r="A25" s="13" t="s">
        <v>80</v>
      </c>
      <c r="B25" s="18" t="s">
        <v>41</v>
      </c>
      <c r="C25" s="18" t="s">
        <v>161</v>
      </c>
      <c r="D25" s="14" t="s">
        <v>113</v>
      </c>
      <c r="E25" s="21" t="n">
        <f aca="false">Entradas!$C$29</f>
        <v>1.5</v>
      </c>
      <c r="F25" s="33" t="n">
        <f aca="false">Cálculo!S25</f>
        <v>708.885503478834</v>
      </c>
      <c r="G25" s="32" t="n">
        <v>1.181</v>
      </c>
      <c r="H25" s="34" t="n">
        <f aca="false">Entradas!$D$29</f>
        <v>1.1</v>
      </c>
      <c r="I25" s="31" t="n">
        <f aca="false">Cálculo!F25/G25</f>
        <v>12.701100762066</v>
      </c>
      <c r="J25" s="31" t="n">
        <f aca="false">DEGREES(ATAN(TAN(RADIANS(Cálculo!G25))/G25))</f>
        <v>19.7694432955124</v>
      </c>
      <c r="K25" s="32" t="n">
        <f aca="false">TAN(RADIANS(45+J25/2))^2</f>
        <v>2.02222583947569</v>
      </c>
      <c r="L25" s="31" t="n">
        <f aca="false">EXP(PI()*TAN(RADIANS(J25)))*K25</f>
        <v>6.25480203879824</v>
      </c>
      <c r="M25" s="31" t="n">
        <f aca="false">(L25-1)/TAN(RADIANS(J25))</f>
        <v>14.6202341595602</v>
      </c>
      <c r="N25" s="31" t="n">
        <f aca="false">(L25-1)*TAN(RADIANS(1.4*J25))</f>
        <v>2.75616826871931</v>
      </c>
      <c r="O25" s="32" t="n">
        <f aca="false">F25/(I25*M25*(1+0.2*K25*Entradas!$C$22)*(1+0.2*SQRT(K25)*Entradas!$C$18/2)+Cálculo!J25*L25*(1+0.1*K25*Entradas!$C$22)*(1+0.1*SQRT(K25)*Entradas!$C$18/2)+0.5*Cálculo!I25*2*N25*(1+0.1*K25*Entradas!$C$22)*(1+0.1*SQRT(K25)*Entradas!$C$18/2))</f>
        <v>1.49987093137372</v>
      </c>
      <c r="P25" s="35" t="str">
        <f aca="false">IF(G25&gt;=H25,"Sí","NO")</f>
        <v>Sí</v>
      </c>
    </row>
    <row r="26" customFormat="false" ht="27.75" hidden="false" customHeight="true" outlineLevel="0" collapsed="false">
      <c r="A26" s="13" t="s">
        <v>80</v>
      </c>
      <c r="B26" s="18" t="s">
        <v>41</v>
      </c>
      <c r="C26" s="18" t="s">
        <v>162</v>
      </c>
      <c r="D26" s="14" t="s">
        <v>111</v>
      </c>
      <c r="E26" s="21" t="n">
        <f aca="false">Entradas!$C$27</f>
        <v>3</v>
      </c>
      <c r="F26" s="33" t="n">
        <f aca="false">Cálculo!S26</f>
        <v>773.604294843765</v>
      </c>
      <c r="G26" s="32" t="n">
        <v>1.637</v>
      </c>
      <c r="H26" s="34" t="n">
        <f aca="false">Entradas!$D$27</f>
        <v>1.5</v>
      </c>
      <c r="I26" s="31" t="n">
        <f aca="false">Cálculo!F26/G26</f>
        <v>9.16310323762981</v>
      </c>
      <c r="J26" s="31" t="n">
        <f aca="false">DEGREES(ATAN(TAN(RADIANS(Cálculo!G26))/G26))</f>
        <v>14.536665802625</v>
      </c>
      <c r="K26" s="32" t="n">
        <f aca="false">TAN(RADIANS(45+J26/2))^2</f>
        <v>1.67022521584325</v>
      </c>
      <c r="L26" s="31" t="n">
        <f aca="false">EXP(PI()*TAN(RADIANS(J26)))*K26</f>
        <v>3.77188481210637</v>
      </c>
      <c r="M26" s="31" t="n">
        <f aca="false">(L26-1)/TAN(RADIANS(J26))</f>
        <v>10.6898578293452</v>
      </c>
      <c r="N26" s="31" t="n">
        <f aca="false">(L26-1)*TAN(RADIANS(1.4*J26))</f>
        <v>1.02817544587153</v>
      </c>
      <c r="O26" s="32" t="n">
        <f aca="false">F26/(I26*M26*(1+0.2*K26*Entradas!$C$22)*(1+0.2*SQRT(K26)*Entradas!$C$18/2)+Cálculo!J26*L26*(1+0.1*K26*Entradas!$C$22)*(1+0.1*SQRT(K26)*Entradas!$C$18/2)+0.5*Cálculo!I26*2*N26*(1+0.1*K26*Entradas!$C$22)*(1+0.1*SQRT(K26)*Entradas!$C$18/2))</f>
        <v>3.00013255040259</v>
      </c>
      <c r="P26" s="35" t="str">
        <f aca="false">IF(G26&gt;=H26,"Sí","NO")</f>
        <v>Sí</v>
      </c>
    </row>
    <row r="27" customFormat="false" ht="27.75" hidden="false" customHeight="true" outlineLevel="0" collapsed="false">
      <c r="A27" s="13" t="s">
        <v>80</v>
      </c>
      <c r="B27" s="18" t="s">
        <v>41</v>
      </c>
      <c r="C27" s="18" t="s">
        <v>162</v>
      </c>
      <c r="D27" s="14" t="s">
        <v>112</v>
      </c>
      <c r="E27" s="21" t="n">
        <f aca="false">Entradas!$C$28</f>
        <v>2.5</v>
      </c>
      <c r="F27" s="33" t="n">
        <f aca="false">Cálculo!S26</f>
        <v>773.604294843765</v>
      </c>
      <c r="G27" s="32" t="n">
        <v>1.4873</v>
      </c>
      <c r="H27" s="34" t="n">
        <f aca="false">Entradas!$D$28</f>
        <v>1.25</v>
      </c>
      <c r="I27" s="31" t="n">
        <f aca="false">Cálculo!F26/G27</f>
        <v>10.0853896322195</v>
      </c>
      <c r="J27" s="31" t="n">
        <f aca="false">DEGREES(ATAN(TAN(RADIANS(Cálculo!G26))/G27))</f>
        <v>15.9287248034025</v>
      </c>
      <c r="K27" s="32" t="n">
        <f aca="false">TAN(RADIANS(45+J27/2))^2</f>
        <v>1.75649665095666</v>
      </c>
      <c r="L27" s="31" t="n">
        <f aca="false">EXP(PI()*TAN(RADIANS(J27)))*K27</f>
        <v>4.30566050717247</v>
      </c>
      <c r="M27" s="31" t="n">
        <f aca="false">(L27-1)/TAN(RADIANS(J27))</f>
        <v>11.5825690584429</v>
      </c>
      <c r="N27" s="31" t="n">
        <f aca="false">(L27-1)*TAN(RADIANS(1.4*J27))</f>
        <v>1.35576465071568</v>
      </c>
      <c r="O27" s="32" t="n">
        <f aca="false">F27/(I27*M27*(1+0.2*K27*Entradas!$C$22)*(1+0.2*SQRT(K27)*Entradas!$C$18/2)+Cálculo!J26*L27*(1+0.1*K27*Entradas!$C$22)*(1+0.1*SQRT(K27)*Entradas!$C$18/2)+0.5*Cálculo!I26*2*N27*(1+0.1*K27*Entradas!$C$22)*(1+0.1*SQRT(K27)*Entradas!$C$18/2))</f>
        <v>2.500156153006</v>
      </c>
      <c r="P27" s="35" t="str">
        <f aca="false">IF(G27&gt;=H27,"Sí","NO")</f>
        <v>Sí</v>
      </c>
    </row>
    <row r="28" customFormat="false" ht="27.75" hidden="false" customHeight="true" outlineLevel="0" collapsed="false">
      <c r="A28" s="13" t="s">
        <v>80</v>
      </c>
      <c r="B28" s="18" t="s">
        <v>41</v>
      </c>
      <c r="C28" s="18" t="s">
        <v>162</v>
      </c>
      <c r="D28" s="14" t="s">
        <v>113</v>
      </c>
      <c r="E28" s="21" t="n">
        <f aca="false">Entradas!$C$29</f>
        <v>1.5</v>
      </c>
      <c r="F28" s="33" t="n">
        <f aca="false">Cálculo!S26</f>
        <v>773.604294843765</v>
      </c>
      <c r="G28" s="32" t="n">
        <v>1.1741</v>
      </c>
      <c r="H28" s="34" t="n">
        <f aca="false">Entradas!$D$29</f>
        <v>1.1</v>
      </c>
      <c r="I28" s="31" t="n">
        <f aca="false">Cálculo!F26/G28</f>
        <v>12.7757431223916</v>
      </c>
      <c r="J28" s="31" t="n">
        <f aca="false">DEGREES(ATAN(TAN(RADIANS(Cálculo!G26))/G28))</f>
        <v>19.8765488728273</v>
      </c>
      <c r="K28" s="32" t="n">
        <f aca="false">TAN(RADIANS(45+J28/2))^2</f>
        <v>2.03027852344365</v>
      </c>
      <c r="L28" s="31" t="n">
        <f aca="false">EXP(PI()*TAN(RADIANS(J28)))*K28</f>
        <v>6.32151893290996</v>
      </c>
      <c r="M28" s="31" t="n">
        <f aca="false">(L28-1)/TAN(RADIANS(J28))</f>
        <v>14.7193546955783</v>
      </c>
      <c r="N28" s="31" t="n">
        <f aca="false">(L28-1)*TAN(RADIANS(1.4*J28))</f>
        <v>2.80894424898383</v>
      </c>
      <c r="O28" s="32" t="n">
        <f aca="false">F28/(I28*M28*(1+0.2*K28*Entradas!$C$22)*(1+0.2*SQRT(K28)*Entradas!$C$18/2)+Cálculo!J26*L28*(1+0.1*K28*Entradas!$C$22)*(1+0.1*SQRT(K28)*Entradas!$C$18/2)+0.5*Cálculo!I26*2*N28*(1+0.1*K28*Entradas!$C$22)*(1+0.1*SQRT(K28)*Entradas!$C$18/2))</f>
        <v>1.50013923594182</v>
      </c>
      <c r="P28" s="35" t="str">
        <f aca="false">IF(G28&gt;=H28,"Sí","NO")</f>
        <v>Sí</v>
      </c>
    </row>
    <row r="29" customFormat="false" ht="27.75" hidden="false" customHeight="true" outlineLevel="0" collapsed="false">
      <c r="A29" s="13" t="s">
        <v>80</v>
      </c>
      <c r="B29" s="18" t="s">
        <v>59</v>
      </c>
      <c r="C29" s="18" t="s">
        <v>161</v>
      </c>
      <c r="D29" s="14" t="s">
        <v>111</v>
      </c>
      <c r="E29" s="21" t="n">
        <f aca="false">Entradas!$C$27</f>
        <v>3</v>
      </c>
      <c r="F29" s="33" t="n">
        <f aca="false">Cálculo!S31</f>
        <v>1740.14738444284</v>
      </c>
      <c r="G29" s="32" t="n">
        <v>1.5048</v>
      </c>
      <c r="H29" s="34" t="n">
        <f aca="false">Entradas!$D$27</f>
        <v>1.5</v>
      </c>
      <c r="I29" s="31" t="n">
        <f aca="false">Cálculo!F31/G29</f>
        <v>16.6135034556087</v>
      </c>
      <c r="J29" s="31" t="n">
        <f aca="false">DEGREES(ATAN(TAN(RADIANS(Cálculo!G31))/G29))</f>
        <v>19.4604670881197</v>
      </c>
      <c r="K29" s="32" t="n">
        <f aca="false">TAN(RADIANS(45+J29/2))^2</f>
        <v>1.99920390576863</v>
      </c>
      <c r="L29" s="31" t="n">
        <f aca="false">EXP(PI()*TAN(RADIANS(J29)))*K29</f>
        <v>6.0666496468364</v>
      </c>
      <c r="M29" s="31" t="n">
        <f aca="false">(L29-1)/TAN(RADIANS(J29))</f>
        <v>14.3392122361552</v>
      </c>
      <c r="N29" s="31" t="n">
        <f aca="false">(L29-1)*TAN(RADIANS(1.4*J29))</f>
        <v>2.60889791468726</v>
      </c>
      <c r="O29" s="32" t="n">
        <f aca="false">F29/(I29*M29*(1+0.2*K29*Entradas!$C$22)*(1+0.2*SQRT(K29)*Entradas!$C$18/2)+Cálculo!J31*L29*(1+0.1*K29*Entradas!$C$22)*(1+0.1*SQRT(K29)*Entradas!$C$18/2)+0.5*Cálculo!I31*2*N29*(1+0.1*K29*Entradas!$C$22)*(1+0.1*SQRT(K29)*Entradas!$C$18/2))</f>
        <v>3.00014202778352</v>
      </c>
      <c r="P29" s="35" t="str">
        <f aca="false">IF(G29&gt;=H29,"Sí","NO")</f>
        <v>Sí</v>
      </c>
    </row>
    <row r="30" customFormat="false" ht="27.75" hidden="false" customHeight="true" outlineLevel="0" collapsed="false">
      <c r="A30" s="13" t="s">
        <v>80</v>
      </c>
      <c r="B30" s="18" t="s">
        <v>59</v>
      </c>
      <c r="C30" s="18" t="s">
        <v>161</v>
      </c>
      <c r="D30" s="14" t="s">
        <v>112</v>
      </c>
      <c r="E30" s="21" t="n">
        <f aca="false">Entradas!$C$28</f>
        <v>2.5</v>
      </c>
      <c r="F30" s="33" t="n">
        <f aca="false">Cálculo!S31</f>
        <v>1740.14738444284</v>
      </c>
      <c r="G30" s="32" t="n">
        <v>1.392</v>
      </c>
      <c r="H30" s="34" t="n">
        <f aca="false">Entradas!$D$28</f>
        <v>1.25</v>
      </c>
      <c r="I30" s="31" t="n">
        <f aca="false">Cálculo!F31/G30</f>
        <v>17.9597701149425</v>
      </c>
      <c r="J30" s="31" t="n">
        <f aca="false">DEGREES(ATAN(TAN(RADIANS(Cálculo!G31))/G30))</f>
        <v>20.9056152121743</v>
      </c>
      <c r="K30" s="32" t="n">
        <f aca="false">TAN(RADIANS(45+J30/2))^2</f>
        <v>2.10959561395105</v>
      </c>
      <c r="L30" s="31" t="n">
        <f aca="false">EXP(PI()*TAN(RADIANS(J30)))*K30</f>
        <v>7.00417677780183</v>
      </c>
      <c r="M30" s="31" t="n">
        <f aca="false">(L30-1)/TAN(RADIANS(J30))</f>
        <v>15.7187621227326</v>
      </c>
      <c r="N30" s="31" t="n">
        <f aca="false">(L30-1)*TAN(RADIANS(1.4*J30))</f>
        <v>3.36495975271946</v>
      </c>
      <c r="O30" s="32" t="n">
        <f aca="false">F30/(I30*M30*(1+0.2*K30*Entradas!$C$22)*(1+0.2*SQRT(K30)*Entradas!$C$18/2)+Cálculo!J31*L30*(1+0.1*K30*Entradas!$C$22)*(1+0.1*SQRT(K30)*Entradas!$C$18/2)+0.5*Cálculo!I31*2*N30*(1+0.1*K30*Entradas!$C$22)*(1+0.1*SQRT(K30)*Entradas!$C$18/2))</f>
        <v>2.50017447951436</v>
      </c>
      <c r="P30" s="35" t="str">
        <f aca="false">IF(G30&gt;=H30,"Sí","NO")</f>
        <v>Sí</v>
      </c>
    </row>
    <row r="31" customFormat="false" ht="27.75" hidden="false" customHeight="true" outlineLevel="0" collapsed="false">
      <c r="A31" s="13" t="s">
        <v>80</v>
      </c>
      <c r="B31" s="18" t="s">
        <v>59</v>
      </c>
      <c r="C31" s="18" t="s">
        <v>161</v>
      </c>
      <c r="D31" s="14" t="s">
        <v>113</v>
      </c>
      <c r="E31" s="21" t="n">
        <f aca="false">Entradas!$C$29</f>
        <v>1.5</v>
      </c>
      <c r="F31" s="33" t="n">
        <f aca="false">Cálculo!S31</f>
        <v>1740.14738444284</v>
      </c>
      <c r="G31" s="32" t="n">
        <v>1.1449</v>
      </c>
      <c r="H31" s="34" t="n">
        <f aca="false">Entradas!$D$29</f>
        <v>1.1</v>
      </c>
      <c r="I31" s="31" t="n">
        <f aca="false">Cálculo!F31/G31</f>
        <v>21.8359682068303</v>
      </c>
      <c r="J31" s="31" t="n">
        <f aca="false">DEGREES(ATAN(TAN(RADIANS(Cálculo!G31))/G31))</f>
        <v>24.9108911616305</v>
      </c>
      <c r="K31" s="32" t="n">
        <f aca="false">TAN(RADIANS(45+J31/2))^2</f>
        <v>2.4554741073351</v>
      </c>
      <c r="L31" s="31" t="n">
        <f aca="false">EXP(PI()*TAN(RADIANS(J31)))*K31</f>
        <v>10.5626535477523</v>
      </c>
      <c r="M31" s="31" t="n">
        <f aca="false">(L31-1)/TAN(RADIANS(J31))</f>
        <v>20.5907237955335</v>
      </c>
      <c r="N31" s="31" t="n">
        <f aca="false">(L31-1)*TAN(RADIANS(1.4*J31))</f>
        <v>6.66485972936534</v>
      </c>
      <c r="O31" s="32" t="n">
        <f aca="false">F31/(I31*M31*(1+0.2*K31*Entradas!$C$22)*(1+0.2*SQRT(K31)*Entradas!$C$18/2)+Cálculo!J31*L31*(1+0.1*K31*Entradas!$C$22)*(1+0.1*SQRT(K31)*Entradas!$C$18/2)+0.5*Cálculo!I31*2*N31*(1+0.1*K31*Entradas!$C$22)*(1+0.1*SQRT(K31)*Entradas!$C$18/2))</f>
        <v>1.50017420728018</v>
      </c>
      <c r="P31" s="35" t="str">
        <f aca="false">IF(G31&gt;=H31,"Sí","NO")</f>
        <v>Sí</v>
      </c>
    </row>
    <row r="32" customFormat="false" ht="27.75" hidden="false" customHeight="true" outlineLevel="0" collapsed="false">
      <c r="A32" s="13" t="s">
        <v>80</v>
      </c>
      <c r="B32" s="18" t="s">
        <v>59</v>
      </c>
      <c r="C32" s="18" t="s">
        <v>162</v>
      </c>
      <c r="D32" s="14" t="s">
        <v>111</v>
      </c>
      <c r="E32" s="21" t="n">
        <f aca="false">Entradas!$C$27</f>
        <v>3</v>
      </c>
      <c r="F32" s="33" t="n">
        <f aca="false">Cálculo!S32</f>
        <v>1897.81930347825</v>
      </c>
      <c r="G32" s="32" t="n">
        <v>1.4857</v>
      </c>
      <c r="H32" s="34" t="n">
        <f aca="false">Entradas!$D$27</f>
        <v>1.5</v>
      </c>
      <c r="I32" s="31" t="n">
        <f aca="false">Cálculo!F32/G32</f>
        <v>16.8270848758161</v>
      </c>
      <c r="J32" s="31" t="n">
        <f aca="false">DEGREES(ATAN(TAN(RADIANS(Cálculo!G32))/G32))</f>
        <v>19.6915160068759</v>
      </c>
      <c r="K32" s="32" t="n">
        <f aca="false">TAN(RADIANS(45+J32/2))^2</f>
        <v>2.01639037658416</v>
      </c>
      <c r="L32" s="31" t="n">
        <f aca="false">EXP(PI()*TAN(RADIANS(J32)))*K32</f>
        <v>6.2067486745135</v>
      </c>
      <c r="M32" s="31" t="n">
        <f aca="false">(L32-1)/TAN(RADIANS(J32))</f>
        <v>14.5486727244096</v>
      </c>
      <c r="N32" s="31" t="n">
        <f aca="false">(L32-1)*TAN(RADIANS(1.4*J32))</f>
        <v>2.71833489059406</v>
      </c>
      <c r="O32" s="32" t="n">
        <f aca="false">F32/(I32*M32*(1+0.2*K32*Entradas!$C$22)*(1+0.2*SQRT(K32)*Entradas!$C$18/2)+Cálculo!J32*L32*(1+0.1*K32*Entradas!$C$22)*(1+0.1*SQRT(K32)*Entradas!$C$18/2)+0.5*Cálculo!I32*2*N32*(1+0.1*K32*Entradas!$C$22)*(1+0.1*SQRT(K32)*Entradas!$C$18/2))</f>
        <v>2.99993209992259</v>
      </c>
      <c r="P32" s="35" t="str">
        <f aca="false">IF(G32&gt;=H32,"Sí","NO")</f>
        <v>NO</v>
      </c>
    </row>
    <row r="33" customFormat="false" ht="27.75" hidden="false" customHeight="true" outlineLevel="0" collapsed="false">
      <c r="A33" s="13" t="s">
        <v>80</v>
      </c>
      <c r="B33" s="18" t="s">
        <v>59</v>
      </c>
      <c r="C33" s="18" t="s">
        <v>162</v>
      </c>
      <c r="D33" s="14" t="s">
        <v>112</v>
      </c>
      <c r="E33" s="21" t="n">
        <f aca="false">Entradas!$C$28</f>
        <v>2.5</v>
      </c>
      <c r="F33" s="33" t="n">
        <f aca="false">Cálculo!S32</f>
        <v>1897.81930347825</v>
      </c>
      <c r="G33" s="32" t="n">
        <v>1.378</v>
      </c>
      <c r="H33" s="34" t="n">
        <f aca="false">Entradas!$D$28</f>
        <v>1.25</v>
      </c>
      <c r="I33" s="31" t="n">
        <f aca="false">Cálculo!F32/G33</f>
        <v>18.1422351233672</v>
      </c>
      <c r="J33" s="31" t="n">
        <f aca="false">DEGREES(ATAN(TAN(RADIANS(Cálculo!G32))/G33))</f>
        <v>21.0994023094404</v>
      </c>
      <c r="K33" s="32" t="n">
        <f aca="false">TAN(RADIANS(45+J33/2))^2</f>
        <v>2.12493689501833</v>
      </c>
      <c r="L33" s="31" t="n">
        <f aca="false">EXP(PI()*TAN(RADIANS(J33)))*K33</f>
        <v>7.14165233888312</v>
      </c>
      <c r="M33" s="31" t="n">
        <f aca="false">(L33-1)/TAN(RADIANS(J33))</f>
        <v>15.9169584344879</v>
      </c>
      <c r="N33" s="31" t="n">
        <f aca="false">(L33-1)*TAN(RADIANS(1.4*J33))</f>
        <v>3.4803236095796</v>
      </c>
      <c r="O33" s="32" t="n">
        <f aca="false">F33/(I33*M33*(1+0.2*K33*Entradas!$C$22)*(1+0.2*SQRT(K33)*Entradas!$C$18/2)+Cálculo!J32*L33*(1+0.1*K33*Entradas!$C$22)*(1+0.1*SQRT(K33)*Entradas!$C$18/2)+0.5*Cálculo!I32*2*N33*(1+0.1*K33*Entradas!$C$22)*(1+0.1*SQRT(K33)*Entradas!$C$18/2))</f>
        <v>2.49981293393357</v>
      </c>
      <c r="P33" s="35" t="str">
        <f aca="false">IF(G33&gt;=H33,"Sí","NO")</f>
        <v>Sí</v>
      </c>
    </row>
    <row r="34" customFormat="false" ht="27.75" hidden="false" customHeight="true" outlineLevel="0" collapsed="false">
      <c r="A34" s="13" t="s">
        <v>80</v>
      </c>
      <c r="B34" s="18" t="s">
        <v>59</v>
      </c>
      <c r="C34" s="18" t="s">
        <v>162</v>
      </c>
      <c r="D34" s="14" t="s">
        <v>113</v>
      </c>
      <c r="E34" s="21" t="n">
        <f aca="false">Entradas!$C$29</f>
        <v>1.5</v>
      </c>
      <c r="F34" s="33" t="n">
        <f aca="false">Cálculo!S32</f>
        <v>1897.81930347825</v>
      </c>
      <c r="G34" s="32" t="n">
        <v>1.1405</v>
      </c>
      <c r="H34" s="34" t="n">
        <f aca="false">Entradas!$D$29</f>
        <v>1.1</v>
      </c>
      <c r="I34" s="31" t="n">
        <f aca="false">Cálculo!F32/G34</f>
        <v>21.9202104340202</v>
      </c>
      <c r="J34" s="31" t="n">
        <f aca="false">DEGREES(ATAN(TAN(RADIANS(Cálculo!G32))/G34))</f>
        <v>24.9952769710649</v>
      </c>
      <c r="K34" s="32" t="n">
        <f aca="false">TAN(RADIANS(45+J34/2))^2</f>
        <v>2.463464654461</v>
      </c>
      <c r="L34" s="31" t="n">
        <f aca="false">EXP(PI()*TAN(RADIANS(J34)))*K34</f>
        <v>10.65684278118</v>
      </c>
      <c r="M34" s="31" t="n">
        <f aca="false">(L34-1)/TAN(RADIANS(J34))</f>
        <v>20.7136239007847</v>
      </c>
      <c r="N34" s="31" t="n">
        <f aca="false">(L34-1)*TAN(RADIANS(1.4*J34))</f>
        <v>6.76013338829957</v>
      </c>
      <c r="O34" s="32" t="n">
        <f aca="false">F34/(I34*M34*(1+0.2*K34*Entradas!$C$22)*(1+0.2*SQRT(K34)*Entradas!$C$18/2)+Cálculo!J32*L34*(1+0.1*K34*Entradas!$C$22)*(1+0.1*SQRT(K34)*Entradas!$C$18/2)+0.5*Cálculo!I32*2*N34*(1+0.1*K34*Entradas!$C$22)*(1+0.1*SQRT(K34)*Entradas!$C$18/2))</f>
        <v>1.50016424969042</v>
      </c>
      <c r="P34" s="35" t="str">
        <f aca="false">IF(G34&gt;=H34,"Sí","NO")</f>
        <v>Sí</v>
      </c>
    </row>
    <row r="35" customFormat="false" ht="27.75" hidden="false" customHeight="true" outlineLevel="0" collapsed="false">
      <c r="A35" s="13" t="s">
        <v>80</v>
      </c>
      <c r="B35" s="18" t="s">
        <v>44</v>
      </c>
      <c r="C35" s="18" t="s">
        <v>161</v>
      </c>
      <c r="D35" s="14" t="s">
        <v>111</v>
      </c>
      <c r="E35" s="21" t="n">
        <f aca="false">Entradas!$C$27</f>
        <v>3</v>
      </c>
      <c r="F35" s="33" t="n">
        <f aca="false">Cálculo!S37</f>
        <v>4058.39079356762</v>
      </c>
      <c r="G35" s="32" t="n">
        <v>1.3962</v>
      </c>
      <c r="H35" s="34" t="n">
        <f aca="false">Entradas!$D$27</f>
        <v>1.5</v>
      </c>
      <c r="I35" s="31" t="n">
        <f aca="false">Cálculo!F37/G35</f>
        <v>25.0680418278184</v>
      </c>
      <c r="J35" s="31" t="n">
        <f aca="false">DEGREES(ATAN(TAN(RADIANS(Cálculo!G37))/G35))</f>
        <v>24.9443183652354</v>
      </c>
      <c r="K35" s="32" t="n">
        <f aca="false">TAN(RADIANS(45+J35/2))^2</f>
        <v>2.45863559168321</v>
      </c>
      <c r="L35" s="31" t="n">
        <f aca="false">EXP(PI()*TAN(RADIANS(J35)))*K35</f>
        <v>10.5998515362008</v>
      </c>
      <c r="M35" s="31" t="n">
        <f aca="false">(L35-1)/TAN(RADIANS(J35))</f>
        <v>20.6392916486382</v>
      </c>
      <c r="N35" s="31" t="n">
        <f aca="false">(L35-1)*TAN(RADIANS(1.4*J35))</f>
        <v>6.70244199488886</v>
      </c>
      <c r="O35" s="32" t="n">
        <f aca="false">F35/(I35*M35*(1+0.2*K35*Entradas!$C$22)*(1+0.2*SQRT(K35)*Entradas!$C$18/2)+Cálculo!J37*L35*(1+0.1*K35*Entradas!$C$22)*(1+0.1*SQRT(K35)*Entradas!$C$18/2)+0.5*Cálculo!I37*2*N35*(1+0.1*K35*Entradas!$C$22)*(1+0.1*SQRT(K35)*Entradas!$C$18/2))</f>
        <v>3.00016612770689</v>
      </c>
      <c r="P35" s="35" t="str">
        <f aca="false">IF(G35&gt;=H35,"Sí","NO")</f>
        <v>NO</v>
      </c>
    </row>
    <row r="36" customFormat="false" ht="27.75" hidden="false" customHeight="true" outlineLevel="0" collapsed="false">
      <c r="A36" s="13" t="s">
        <v>80</v>
      </c>
      <c r="B36" s="18" t="s">
        <v>44</v>
      </c>
      <c r="C36" s="18" t="s">
        <v>161</v>
      </c>
      <c r="D36" s="14" t="s">
        <v>112</v>
      </c>
      <c r="E36" s="21" t="n">
        <f aca="false">Entradas!$C$28</f>
        <v>2.5</v>
      </c>
      <c r="F36" s="33" t="n">
        <f aca="false">Cálculo!S37</f>
        <v>4058.39079356762</v>
      </c>
      <c r="G36" s="32" t="n">
        <v>1.3117</v>
      </c>
      <c r="H36" s="34" t="n">
        <f aca="false">Entradas!$D$28</f>
        <v>1.25</v>
      </c>
      <c r="I36" s="31" t="n">
        <f aca="false">Cálculo!F37/G36</f>
        <v>26.6829305481436</v>
      </c>
      <c r="J36" s="31" t="n">
        <f aca="false">DEGREES(ATAN(TAN(RADIANS(Cálculo!G37))/G36))</f>
        <v>26.3394828831081</v>
      </c>
      <c r="K36" s="32" t="n">
        <f aca="false">TAN(RADIANS(45+J36/2))^2</f>
        <v>2.59511046301754</v>
      </c>
      <c r="L36" s="31" t="n">
        <f aca="false">EXP(PI()*TAN(RADIANS(J36)))*K36</f>
        <v>12.2925759196638</v>
      </c>
      <c r="M36" s="31" t="n">
        <f aca="false">(L36-1)/TAN(RADIANS(J36))</f>
        <v>22.8092064043945</v>
      </c>
      <c r="N36" s="31" t="n">
        <f aca="false">(L36-1)*TAN(RADIANS(1.4*J36))</f>
        <v>8.4710883706434</v>
      </c>
      <c r="O36" s="32" t="n">
        <f aca="false">F36/(I36*M36*(1+0.2*K36*Entradas!$C$22)*(1+0.2*SQRT(K36)*Entradas!$C$18/2)+Cálculo!J37*L36*(1+0.1*K36*Entradas!$C$22)*(1+0.1*SQRT(K36)*Entradas!$C$18/2)+0.5*Cálculo!I37*2*N36*(1+0.1*K36*Entradas!$C$22)*(1+0.1*SQRT(K36)*Entradas!$C$18/2))</f>
        <v>2.50023386183307</v>
      </c>
      <c r="P36" s="35" t="str">
        <f aca="false">IF(G36&gt;=H36,"Sí","NO")</f>
        <v>Sí</v>
      </c>
    </row>
    <row r="37" customFormat="false" ht="27.75" hidden="false" customHeight="true" outlineLevel="0" collapsed="false">
      <c r="A37" s="13" t="s">
        <v>80</v>
      </c>
      <c r="B37" s="18" t="s">
        <v>44</v>
      </c>
      <c r="C37" s="18" t="s">
        <v>161</v>
      </c>
      <c r="D37" s="14" t="s">
        <v>113</v>
      </c>
      <c r="E37" s="21" t="n">
        <f aca="false">Entradas!$C$29</f>
        <v>1.5</v>
      </c>
      <c r="F37" s="33" t="n">
        <f aca="false">Cálculo!S37</f>
        <v>4058.39079356762</v>
      </c>
      <c r="G37" s="32" t="n">
        <v>1.1188</v>
      </c>
      <c r="H37" s="34" t="n">
        <f aca="false">Entradas!$D$29</f>
        <v>1.1</v>
      </c>
      <c r="I37" s="31" t="n">
        <f aca="false">Cálculo!F37/G37</f>
        <v>31.283518055059</v>
      </c>
      <c r="J37" s="31" t="n">
        <f aca="false">DEGREES(ATAN(TAN(RADIANS(Cálculo!G37))/G37))</f>
        <v>30.133027437088</v>
      </c>
      <c r="K37" s="32" t="n">
        <f aca="false">TAN(RADIANS(45+J37/2))^2</f>
        <v>3.01613973747673</v>
      </c>
      <c r="L37" s="31" t="n">
        <f aca="false">EXP(PI()*TAN(RADIANS(J37)))*K37</f>
        <v>18.6811615234182</v>
      </c>
      <c r="M37" s="31" t="n">
        <f aca="false">(L37-1)/TAN(RADIANS(J37))</f>
        <v>30.4611213660138</v>
      </c>
      <c r="N37" s="31" t="n">
        <f aca="false">(L37-1)*TAN(RADIANS(1.4*J37))</f>
        <v>16.0245615746434</v>
      </c>
      <c r="O37" s="32" t="n">
        <f aca="false">F37/(I37*M37*(1+0.2*K37*Entradas!$C$22)*(1+0.2*SQRT(K37)*Entradas!$C$18/2)+Cálculo!J37*L37*(1+0.1*K37*Entradas!$C$22)*(1+0.1*SQRT(K37)*Entradas!$C$18/2)+0.5*Cálculo!I37*2*N37*(1+0.1*K37*Entradas!$C$22)*(1+0.1*SQRT(K37)*Entradas!$C$18/2))</f>
        <v>1.50013384495314</v>
      </c>
      <c r="P37" s="35" t="str">
        <f aca="false">IF(G37&gt;=H37,"Sí","NO")</f>
        <v>Sí</v>
      </c>
    </row>
    <row r="38" customFormat="false" ht="27.75" hidden="false" customHeight="true" outlineLevel="0" collapsed="false">
      <c r="A38" s="13" t="s">
        <v>80</v>
      </c>
      <c r="B38" s="18" t="s">
        <v>44</v>
      </c>
      <c r="C38" s="18" t="s">
        <v>162</v>
      </c>
      <c r="D38" s="14" t="s">
        <v>111</v>
      </c>
      <c r="E38" s="21" t="n">
        <f aca="false">Entradas!$C$27</f>
        <v>3</v>
      </c>
      <c r="F38" s="33" t="n">
        <f aca="false">Cálculo!S38</f>
        <v>4449.63127117205</v>
      </c>
      <c r="G38" s="32" t="n">
        <v>1.3835</v>
      </c>
      <c r="H38" s="34" t="n">
        <f aca="false">Entradas!$D$27</f>
        <v>1.5</v>
      </c>
      <c r="I38" s="31" t="n">
        <f aca="false">Cálculo!F38/G38</f>
        <v>25.2981568485725</v>
      </c>
      <c r="J38" s="31" t="n">
        <f aca="false">DEGREES(ATAN(TAN(RADIANS(Cálculo!G38))/G38))</f>
        <v>25.1451125752356</v>
      </c>
      <c r="K38" s="32" t="n">
        <f aca="false">TAN(RADIANS(45+J38/2))^2</f>
        <v>2.47773045533003</v>
      </c>
      <c r="L38" s="31" t="n">
        <f aca="false">EXP(PI()*TAN(RADIANS(J38)))*K38</f>
        <v>10.8264260488035</v>
      </c>
      <c r="M38" s="31" t="n">
        <f aca="false">(L38-1)/TAN(RADIANS(J38))</f>
        <v>20.9342492772254</v>
      </c>
      <c r="N38" s="31" t="n">
        <f aca="false">(L38-1)*TAN(RADIANS(1.4*J38))</f>
        <v>6.93259211042451</v>
      </c>
      <c r="O38" s="32" t="n">
        <f aca="false">F38/(I38*M38*(1+0.2*K38*Entradas!$C$22)*(1+0.2*SQRT(K38)*Entradas!$C$18/2)+Cálculo!J38*L38*(1+0.1*K38*Entradas!$C$22)*(1+0.1*SQRT(K38)*Entradas!$C$18/2)+0.5*Cálculo!I38*2*N38*(1+0.1*K38*Entradas!$C$22)*(1+0.1*SQRT(K38)*Entradas!$C$18/2))</f>
        <v>2.99971570584645</v>
      </c>
      <c r="P38" s="35" t="str">
        <f aca="false">IF(G38&gt;=H38,"Sí","NO")</f>
        <v>NO</v>
      </c>
    </row>
    <row r="39" customFormat="false" ht="27.75" hidden="false" customHeight="true" outlineLevel="0" collapsed="false">
      <c r="A39" s="13" t="s">
        <v>80</v>
      </c>
      <c r="B39" s="18" t="s">
        <v>44</v>
      </c>
      <c r="C39" s="18" t="s">
        <v>162</v>
      </c>
      <c r="D39" s="14" t="s">
        <v>112</v>
      </c>
      <c r="E39" s="21" t="n">
        <f aca="false">Entradas!$C$28</f>
        <v>2.5</v>
      </c>
      <c r="F39" s="33" t="n">
        <f aca="false">Cálculo!S38</f>
        <v>4449.63127117205</v>
      </c>
      <c r="G39" s="32" t="n">
        <v>1.3022</v>
      </c>
      <c r="H39" s="34" t="n">
        <f aca="false">Entradas!$D$28</f>
        <v>1.25</v>
      </c>
      <c r="I39" s="31" t="n">
        <f aca="false">Cálculo!F38/G39</f>
        <v>26.8775917677776</v>
      </c>
      <c r="J39" s="31" t="n">
        <f aca="false">DEGREES(ATAN(TAN(RADIANS(Cálculo!G38))/G39))</f>
        <v>26.5054485550748</v>
      </c>
      <c r="K39" s="32" t="n">
        <f aca="false">TAN(RADIANS(45+J39/2))^2</f>
        <v>2.61195284461664</v>
      </c>
      <c r="L39" s="31" t="n">
        <f aca="false">EXP(PI()*TAN(RADIANS(J39)))*K39</f>
        <v>12.5135431223106</v>
      </c>
      <c r="M39" s="31" t="n">
        <f aca="false">(L39-1)/TAN(RADIANS(J39))</f>
        <v>23.0870966260983</v>
      </c>
      <c r="N39" s="31" t="n">
        <f aca="false">(L39-1)*TAN(RADIANS(1.4*J39))</f>
        <v>8.71003410483533</v>
      </c>
      <c r="O39" s="32" t="n">
        <f aca="false">F39/(I39*M39*(1+0.2*K39*Entradas!$C$22)*(1+0.2*SQRT(K39)*Entradas!$C$18/2)+Cálculo!J38*L39*(1+0.1*K39*Entradas!$C$22)*(1+0.1*SQRT(K39)*Entradas!$C$18/2)+0.5*Cálculo!I38*2*N39*(1+0.1*K39*Entradas!$C$22)*(1+0.1*SQRT(K39)*Entradas!$C$18/2))</f>
        <v>2.49993872194805</v>
      </c>
      <c r="P39" s="35" t="str">
        <f aca="false">IF(G39&gt;=H39,"Sí","NO")</f>
        <v>Sí</v>
      </c>
    </row>
    <row r="40" customFormat="false" ht="27.75" hidden="false" customHeight="true" outlineLevel="0" collapsed="false">
      <c r="A40" s="13" t="s">
        <v>80</v>
      </c>
      <c r="B40" s="18" t="s">
        <v>44</v>
      </c>
      <c r="C40" s="18" t="s">
        <v>162</v>
      </c>
      <c r="D40" s="14" t="s">
        <v>113</v>
      </c>
      <c r="E40" s="21" t="n">
        <f aca="false">Entradas!$C$29</f>
        <v>1.5</v>
      </c>
      <c r="F40" s="33" t="n">
        <f aca="false">Cálculo!S38</f>
        <v>4449.63127117205</v>
      </c>
      <c r="G40" s="32" t="n">
        <v>1.1156</v>
      </c>
      <c r="H40" s="34" t="n">
        <f aca="false">Entradas!$D$29</f>
        <v>1.1</v>
      </c>
      <c r="I40" s="31" t="n">
        <f aca="false">Cálculo!F38/G40</f>
        <v>31.3732520616709</v>
      </c>
      <c r="J40" s="31" t="n">
        <f aca="false">DEGREES(ATAN(TAN(RADIANS(Cálculo!G38))/G40))</f>
        <v>30.204330596933</v>
      </c>
      <c r="K40" s="32" t="n">
        <f aca="false">TAN(RADIANS(45+J40/2))^2</f>
        <v>3.02483540647646</v>
      </c>
      <c r="L40" s="31" t="n">
        <f aca="false">EXP(PI()*TAN(RADIANS(J40)))*K40</f>
        <v>18.8332733742396</v>
      </c>
      <c r="M40" s="31" t="n">
        <f aca="false">(L40-1)/TAN(RADIANS(J40))</f>
        <v>30.6353051376332</v>
      </c>
      <c r="N40" s="31" t="n">
        <f aca="false">(L40-1)*TAN(RADIANS(1.4*J40))</f>
        <v>16.2191023623354</v>
      </c>
      <c r="O40" s="32" t="n">
        <f aca="false">F40/(I40*M40*(1+0.2*K40*Entradas!$C$22)*(1+0.2*SQRT(K40)*Entradas!$C$18/2)+Cálculo!J38*L40*(1+0.1*K40*Entradas!$C$22)*(1+0.1*SQRT(K40)*Entradas!$C$18/2)+0.5*Cálculo!I38*2*N40*(1+0.1*K40*Entradas!$C$22)*(1+0.1*SQRT(K40)*Entradas!$C$18/2))</f>
        <v>1.4999980079357</v>
      </c>
      <c r="P40" s="35" t="str">
        <f aca="false">IF(G40&gt;=H40,"Sí","NO")</f>
        <v>Sí</v>
      </c>
    </row>
    <row r="42" customFormat="false" ht="15" hidden="false" customHeight="false" outlineLevel="0" collapsed="false">
      <c r="A42" s="2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6.15" hidden="false" customHeight="false" outlineLevel="0" collapsed="false">
      <c r="A1" s="10" t="s">
        <v>177</v>
      </c>
    </row>
    <row r="2" customFormat="false" ht="15" hidden="false" customHeight="false" outlineLevel="0" collapsed="false">
      <c r="A2" s="11" t="s">
        <v>178</v>
      </c>
    </row>
    <row r="4" customFormat="false" ht="23.85" hidden="false" customHeight="false" outlineLevel="0" collapsed="false">
      <c r="A4" s="12" t="s">
        <v>121</v>
      </c>
      <c r="B4" s="12" t="s">
        <v>179</v>
      </c>
      <c r="C4" s="12" t="s">
        <v>180</v>
      </c>
      <c r="D4" s="12" t="s">
        <v>181</v>
      </c>
      <c r="E4" s="12" t="s">
        <v>182</v>
      </c>
      <c r="F4" s="12" t="s">
        <v>183</v>
      </c>
      <c r="G4" s="12" t="s">
        <v>184</v>
      </c>
      <c r="H4" s="12" t="s">
        <v>185</v>
      </c>
      <c r="I4" s="12" t="s">
        <v>186</v>
      </c>
    </row>
    <row r="5" customFormat="false" ht="15" hidden="false" customHeight="false" outlineLevel="0" collapsed="false">
      <c r="A5" s="36" t="n">
        <v>22</v>
      </c>
      <c r="B5" s="25" t="n">
        <v>7.82</v>
      </c>
      <c r="C5" s="31" t="n">
        <f aca="false">EXP(PI()*TAN(RADIANS(A5)))*TAN(RADIANS(45+A5/2))^2</f>
        <v>7.82112007168834</v>
      </c>
      <c r="D5" s="25" t="n">
        <v>16.88</v>
      </c>
      <c r="E5" s="31" t="n">
        <f aca="false">(C5-1)/TAN(RADIANS(A5))</f>
        <v>16.8828646150098</v>
      </c>
      <c r="F5" s="25" t="n">
        <v>4.07</v>
      </c>
      <c r="G5" s="31" t="n">
        <f aca="false">(C5-1)*TAN(RADIANS(1.4*A5))</f>
        <v>4.06620364421435</v>
      </c>
      <c r="H5" s="32" t="n">
        <f aca="false">MAX(ABS(C5-B5),ABS(E5-D5),ABS(G5-F5))</f>
        <v>0.00379635578564663</v>
      </c>
      <c r="I5" s="35" t="str">
        <f aca="false">IF(H5&lt;=0.006,"Sí","NO")</f>
        <v>Sí</v>
      </c>
    </row>
    <row r="6" customFormat="false" ht="15" hidden="false" customHeight="false" outlineLevel="0" collapsed="false">
      <c r="A6" s="36" t="n">
        <v>24</v>
      </c>
      <c r="B6" s="25" t="n">
        <v>9.6</v>
      </c>
      <c r="C6" s="31" t="n">
        <f aca="false">EXP(PI()*TAN(RADIANS(A6)))*TAN(RADIANS(45+A6/2))^2</f>
        <v>9.60339441069739</v>
      </c>
      <c r="D6" s="25" t="n">
        <v>19.32</v>
      </c>
      <c r="E6" s="31" t="n">
        <f aca="false">(C6-1)/TAN(RADIANS(A6))</f>
        <v>19.3235402268283</v>
      </c>
      <c r="F6" s="25" t="n">
        <v>5.72</v>
      </c>
      <c r="G6" s="31" t="n">
        <f aca="false">(C6-1)*TAN(RADIANS(1.4*A6))</f>
        <v>5.71608158008838</v>
      </c>
      <c r="H6" s="32" t="n">
        <f aca="false">MAX(ABS(C6-B6),ABS(E6-D6),ABS(G6-F6))</f>
        <v>0.00391841991162245</v>
      </c>
      <c r="I6" s="35" t="str">
        <f aca="false">IF(H6&lt;=0.006,"Sí","NO")</f>
        <v>Sí</v>
      </c>
    </row>
    <row r="7" customFormat="false" ht="15" hidden="false" customHeight="false" outlineLevel="0" collapsed="false">
      <c r="A7" s="36" t="n">
        <v>26</v>
      </c>
      <c r="B7" s="25" t="n">
        <v>11.85</v>
      </c>
      <c r="C7" s="31" t="n">
        <f aca="false">EXP(PI()*TAN(RADIANS(A7)))*TAN(RADIANS(45+A7/2))^2</f>
        <v>11.8542030592579</v>
      </c>
      <c r="D7" s="25" t="n">
        <v>22.25</v>
      </c>
      <c r="E7" s="31" t="n">
        <f aca="false">(C7-1)/TAN(RADIANS(A7))</f>
        <v>22.2544142296783</v>
      </c>
      <c r="F7" s="25" t="n">
        <v>8</v>
      </c>
      <c r="G7" s="31" t="n">
        <f aca="false">(C7-1)*TAN(RADIANS(1.4*A7))</f>
        <v>8.00240866006719</v>
      </c>
      <c r="H7" s="32" t="n">
        <f aca="false">MAX(ABS(C7-B7),ABS(E7-D7),ABS(G7-F7))</f>
        <v>0.00441422967830007</v>
      </c>
      <c r="I7" s="35" t="str">
        <f aca="false">IF(H7&lt;=0.006,"Sí","NO")</f>
        <v>Sí</v>
      </c>
    </row>
    <row r="8" customFormat="false" ht="15" hidden="false" customHeight="false" outlineLevel="0" collapsed="false">
      <c r="A8" s="36" t="n">
        <v>28</v>
      </c>
      <c r="B8" s="25" t="n">
        <v>14.72</v>
      </c>
      <c r="C8" s="31" t="n">
        <f aca="false">EXP(PI()*TAN(RADIANS(A8)))*TAN(RADIANS(45+A8/2))^2</f>
        <v>14.7198808263219</v>
      </c>
      <c r="D8" s="25" t="n">
        <v>25.8</v>
      </c>
      <c r="E8" s="31" t="n">
        <f aca="false">(C8-1)/TAN(RADIANS(A8))</f>
        <v>25.8033429714612</v>
      </c>
      <c r="F8" s="25" t="n">
        <v>11.19</v>
      </c>
      <c r="G8" s="31" t="n">
        <f aca="false">(C8-1)*TAN(RADIANS(1.4*A8))</f>
        <v>11.1896617599086</v>
      </c>
      <c r="H8" s="32" t="n">
        <f aca="false">MAX(ABS(C8-B8),ABS(E8-D8),ABS(G8-F8))</f>
        <v>0.00334297146120832</v>
      </c>
      <c r="I8" s="35" t="str">
        <f aca="false">IF(H8&lt;=0.006,"Sí","NO")</f>
        <v>Sí</v>
      </c>
    </row>
    <row r="9" customFormat="false" ht="15" hidden="false" customHeight="false" outlineLevel="0" collapsed="false">
      <c r="A9" s="36" t="n">
        <v>30</v>
      </c>
      <c r="B9" s="25" t="n">
        <v>18.4</v>
      </c>
      <c r="C9" s="31" t="n">
        <f aca="false">EXP(PI()*TAN(RADIANS(A9)))*TAN(RADIANS(45+A9/2))^2</f>
        <v>18.4011222187087</v>
      </c>
      <c r="D9" s="25" t="n">
        <v>30.14</v>
      </c>
      <c r="E9" s="31" t="n">
        <f aca="false">(C9-1)/TAN(RADIANS(A9))</f>
        <v>30.1396277915191</v>
      </c>
      <c r="F9" s="25" t="n">
        <v>15.67</v>
      </c>
      <c r="G9" s="31" t="n">
        <f aca="false">(C9-1)*TAN(RADIANS(1.4*A9))</f>
        <v>15.6680408210463</v>
      </c>
      <c r="H9" s="32" t="n">
        <f aca="false">MAX(ABS(C9-B9),ABS(E9-D9),ABS(G9-F9))</f>
        <v>0.00195917895371345</v>
      </c>
      <c r="I9" s="35" t="str">
        <f aca="false">IF(H9&lt;=0.006,"Sí","NO")</f>
        <v>Sí</v>
      </c>
    </row>
    <row r="10" customFormat="false" ht="15" hidden="false" customHeight="false" outlineLevel="0" collapsed="false">
      <c r="A10" s="36" t="n">
        <v>32</v>
      </c>
      <c r="B10" s="25" t="n">
        <v>23.18</v>
      </c>
      <c r="C10" s="31" t="n">
        <f aca="false">EXP(PI()*TAN(RADIANS(A10)))*TAN(RADIANS(45+A10/2))^2</f>
        <v>23.1767762070126</v>
      </c>
      <c r="D10" s="25" t="n">
        <v>35.49</v>
      </c>
      <c r="E10" s="31" t="n">
        <f aca="false">(C10-1)/TAN(RADIANS(A10))</f>
        <v>35.4902607068983</v>
      </c>
      <c r="F10" s="25" t="n">
        <v>22.02</v>
      </c>
      <c r="G10" s="31" t="n">
        <f aca="false">(C10-1)*TAN(RADIANS(1.4*A10))</f>
        <v>22.0224910323137</v>
      </c>
      <c r="H10" s="32" t="n">
        <f aca="false">MAX(ABS(C10-B10),ABS(E10-D10),ABS(G10-F10))</f>
        <v>0.00322379298736664</v>
      </c>
      <c r="I10" s="35" t="str">
        <f aca="false">IF(H10&lt;=0.006,"Sí","NO")</f>
        <v>Sí</v>
      </c>
    </row>
    <row r="11" customFormat="false" ht="15" hidden="false" customHeight="false" outlineLevel="0" collapsed="false">
      <c r="A11" s="36" t="n">
        <v>34</v>
      </c>
      <c r="B11" s="25" t="n">
        <v>29.44</v>
      </c>
      <c r="C11" s="31" t="n">
        <f aca="false">EXP(PI()*TAN(RADIANS(A11)))*TAN(RADIANS(45+A11/2))^2</f>
        <v>29.4397923696435</v>
      </c>
      <c r="D11" s="25" t="n">
        <v>42.16</v>
      </c>
      <c r="E11" s="31" t="n">
        <f aca="false">(C11-1)/TAN(RADIANS(A11))</f>
        <v>42.1637261198399</v>
      </c>
      <c r="F11" s="25" t="n">
        <v>31.15</v>
      </c>
      <c r="G11" s="31" t="n">
        <f aca="false">(C11-1)*TAN(RADIANS(1.4*A11))</f>
        <v>31.1455467878599</v>
      </c>
      <c r="H11" s="32" t="n">
        <f aca="false">MAX(ABS(C11-B11),ABS(E11-D11),ABS(G11-F11))</f>
        <v>0.0044532121401204</v>
      </c>
      <c r="I11" s="35" t="str">
        <f aca="false">IF(H11&lt;=0.006,"Sí","NO")</f>
        <v>Sí</v>
      </c>
    </row>
    <row r="13" customFormat="false" ht="15" hidden="false" customHeight="false" outlineLevel="0" collapsed="false">
      <c r="A13" s="11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0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0" t="s">
        <v>188</v>
      </c>
    </row>
    <row r="3" customFormat="false" ht="15" hidden="false" customHeight="false" outlineLevel="0" collapsed="false">
      <c r="A3" s="12" t="s">
        <v>90</v>
      </c>
      <c r="B3" s="12" t="s">
        <v>189</v>
      </c>
      <c r="C3" s="12" t="s">
        <v>190</v>
      </c>
      <c r="D3" s="12" t="s">
        <v>191</v>
      </c>
    </row>
    <row r="4" customFormat="false" ht="45.75" hidden="false" customHeight="true" outlineLevel="0" collapsed="false">
      <c r="A4" s="13" t="n">
        <v>1</v>
      </c>
      <c r="B4" s="14" t="s">
        <v>192</v>
      </c>
      <c r="C4" s="14" t="s">
        <v>193</v>
      </c>
      <c r="D4" s="14" t="s">
        <v>194</v>
      </c>
    </row>
    <row r="5" customFormat="false" ht="45.75" hidden="false" customHeight="true" outlineLevel="0" collapsed="false">
      <c r="A5" s="13" t="n">
        <v>2</v>
      </c>
      <c r="B5" s="14" t="s">
        <v>195</v>
      </c>
      <c r="C5" s="14" t="s">
        <v>196</v>
      </c>
      <c r="D5" s="14" t="s">
        <v>197</v>
      </c>
    </row>
    <row r="6" customFormat="false" ht="45.75" hidden="false" customHeight="true" outlineLevel="0" collapsed="false">
      <c r="A6" s="13" t="n">
        <v>3</v>
      </c>
      <c r="B6" s="14" t="s">
        <v>198</v>
      </c>
      <c r="C6" s="14" t="s">
        <v>199</v>
      </c>
      <c r="D6" s="14" t="s">
        <v>200</v>
      </c>
    </row>
    <row r="7" customFormat="false" ht="45.75" hidden="false" customHeight="true" outlineLevel="0" collapsed="false">
      <c r="A7" s="13" t="n">
        <v>4</v>
      </c>
      <c r="B7" s="14" t="s">
        <v>201</v>
      </c>
      <c r="C7" s="14" t="s">
        <v>202</v>
      </c>
      <c r="D7" s="14" t="s">
        <v>203</v>
      </c>
    </row>
    <row r="8" customFormat="false" ht="45.75" hidden="false" customHeight="true" outlineLevel="0" collapsed="false">
      <c r="A8" s="13" t="n">
        <v>5</v>
      </c>
      <c r="B8" s="14" t="s">
        <v>204</v>
      </c>
      <c r="C8" s="14" t="s">
        <v>205</v>
      </c>
      <c r="D8" s="14" t="s">
        <v>206</v>
      </c>
    </row>
    <row r="9" customFormat="false" ht="45.75" hidden="false" customHeight="true" outlineLevel="0" collapsed="false">
      <c r="A9" s="13" t="n">
        <v>6</v>
      </c>
      <c r="B9" s="14" t="s">
        <v>207</v>
      </c>
      <c r="C9" s="14" t="s">
        <v>208</v>
      </c>
      <c r="D9" s="14" t="s">
        <v>209</v>
      </c>
    </row>
    <row r="10" customFormat="false" ht="45.75" hidden="false" customHeight="true" outlineLevel="0" collapsed="false">
      <c r="A10" s="13" t="n">
        <v>7</v>
      </c>
      <c r="B10" s="14" t="s">
        <v>210</v>
      </c>
      <c r="C10" s="14" t="s">
        <v>211</v>
      </c>
      <c r="D10" s="14" t="s">
        <v>212</v>
      </c>
    </row>
    <row r="11" customFormat="false" ht="45.75" hidden="false" customHeight="true" outlineLevel="0" collapsed="false">
      <c r="A11" s="13" t="n">
        <v>8</v>
      </c>
      <c r="B11" s="14" t="s">
        <v>213</v>
      </c>
      <c r="C11" s="14" t="s">
        <v>214</v>
      </c>
      <c r="D11" s="14" t="s">
        <v>215</v>
      </c>
    </row>
    <row r="12" customFormat="false" ht="45.75" hidden="false" customHeight="true" outlineLevel="0" collapsed="false">
      <c r="A12" s="13" t="n">
        <v>9</v>
      </c>
      <c r="B12" s="14" t="s">
        <v>216</v>
      </c>
      <c r="C12" s="14" t="s">
        <v>217</v>
      </c>
      <c r="D12" s="14" t="s">
        <v>218</v>
      </c>
    </row>
    <row r="14" customFormat="false" ht="16.15" hidden="false" customHeight="false" outlineLevel="0" collapsed="false">
      <c r="A14" s="10" t="s">
        <v>219</v>
      </c>
    </row>
    <row r="15" customFormat="false" ht="15" hidden="false" customHeight="false" outlineLevel="0" collapsed="false">
      <c r="A15" s="12" t="s">
        <v>90</v>
      </c>
      <c r="B15" s="12" t="s">
        <v>220</v>
      </c>
      <c r="C15" s="12" t="s">
        <v>221</v>
      </c>
      <c r="D15" s="12" t="s">
        <v>191</v>
      </c>
    </row>
    <row r="16" customFormat="false" ht="31.5" hidden="false" customHeight="true" outlineLevel="0" collapsed="false">
      <c r="A16" s="13" t="n">
        <v>1</v>
      </c>
      <c r="B16" s="14" t="s">
        <v>222</v>
      </c>
      <c r="C16" s="14" t="s">
        <v>223</v>
      </c>
      <c r="D16" s="14" t="s">
        <v>224</v>
      </c>
    </row>
    <row r="17" customFormat="false" ht="31.5" hidden="false" customHeight="true" outlineLevel="0" collapsed="false">
      <c r="A17" s="13" t="n">
        <v>2</v>
      </c>
      <c r="B17" s="14" t="s">
        <v>225</v>
      </c>
      <c r="C17" s="14" t="s">
        <v>226</v>
      </c>
      <c r="D17" s="14" t="s">
        <v>227</v>
      </c>
    </row>
    <row r="18" customFormat="false" ht="31.5" hidden="false" customHeight="true" outlineLevel="0" collapsed="false">
      <c r="A18" s="13" t="n">
        <v>3</v>
      </c>
      <c r="B18" s="14" t="s">
        <v>228</v>
      </c>
      <c r="C18" s="14" t="s">
        <v>229</v>
      </c>
      <c r="D18" s="14" t="s">
        <v>230</v>
      </c>
    </row>
    <row r="19" customFormat="false" ht="31.5" hidden="false" customHeight="true" outlineLevel="0" collapsed="false">
      <c r="A19" s="13" t="n">
        <v>4</v>
      </c>
      <c r="B19" s="14" t="s">
        <v>231</v>
      </c>
      <c r="C19" s="14" t="s">
        <v>232</v>
      </c>
      <c r="D19" s="14" t="s">
        <v>233</v>
      </c>
    </row>
    <row r="20" customFormat="false" ht="31.5" hidden="false" customHeight="true" outlineLevel="0" collapsed="false">
      <c r="A20" s="13" t="n">
        <v>5</v>
      </c>
      <c r="B20" s="14" t="s">
        <v>234</v>
      </c>
      <c r="C20" s="14" t="s">
        <v>235</v>
      </c>
      <c r="D20" s="14" t="s">
        <v>236</v>
      </c>
    </row>
    <row r="21" customFormat="false" ht="31.5" hidden="false" customHeight="true" outlineLevel="0" collapsed="false">
      <c r="A21" s="13" t="n">
        <v>6</v>
      </c>
      <c r="B21" s="14" t="s">
        <v>237</v>
      </c>
      <c r="C21" s="14" t="s">
        <v>238</v>
      </c>
      <c r="D21" s="1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0" t="s">
        <v>240</v>
      </c>
    </row>
    <row r="3" customFormat="false" ht="15" hidden="false" customHeight="false" outlineLevel="0" collapsed="false">
      <c r="A3" s="12" t="s">
        <v>60</v>
      </c>
      <c r="B3" s="12" t="s">
        <v>241</v>
      </c>
    </row>
    <row r="4" customFormat="false" ht="15" hidden="false" customHeight="false" outlineLevel="0" collapsed="false">
      <c r="A4" s="13" t="s">
        <v>65</v>
      </c>
      <c r="B4" s="18" t="s">
        <v>242</v>
      </c>
    </row>
    <row r="5" customFormat="false" ht="15" hidden="false" customHeight="false" outlineLevel="0" collapsed="false">
      <c r="A5" s="13" t="s">
        <v>243</v>
      </c>
      <c r="B5" s="18" t="s">
        <v>244</v>
      </c>
    </row>
    <row r="6" customFormat="false" ht="15" hidden="false" customHeight="false" outlineLevel="0" collapsed="false">
      <c r="A6" s="13" t="s">
        <v>72</v>
      </c>
      <c r="B6" s="18" t="s">
        <v>245</v>
      </c>
    </row>
    <row r="9" customFormat="false" ht="16.15" hidden="false" customHeight="false" outlineLevel="0" collapsed="false">
      <c r="A9" s="10" t="s">
        <v>246</v>
      </c>
    </row>
    <row r="10" customFormat="false" ht="15" hidden="false" customHeight="false" outlineLevel="0" collapsed="false">
      <c r="A10" s="12" t="s">
        <v>247</v>
      </c>
      <c r="B10" s="12" t="s">
        <v>191</v>
      </c>
      <c r="C10" s="12" t="s">
        <v>248</v>
      </c>
    </row>
    <row r="11" customFormat="false" ht="33.75" hidden="false" customHeight="true" outlineLevel="0" collapsed="false">
      <c r="A11" s="13" t="s">
        <v>249</v>
      </c>
      <c r="B11" s="14" t="s">
        <v>250</v>
      </c>
      <c r="C11" s="14" t="s">
        <v>251</v>
      </c>
    </row>
    <row r="12" customFormat="false" ht="33.75" hidden="false" customHeight="true" outlineLevel="0" collapsed="false">
      <c r="A12" s="13" t="s">
        <v>252</v>
      </c>
      <c r="B12" s="14" t="s">
        <v>253</v>
      </c>
      <c r="C12" s="14" t="s">
        <v>254</v>
      </c>
    </row>
    <row r="13" customFormat="false" ht="33.75" hidden="false" customHeight="true" outlineLevel="0" collapsed="false">
      <c r="A13" s="13" t="s">
        <v>255</v>
      </c>
      <c r="B13" s="14" t="s">
        <v>256</v>
      </c>
      <c r="C13" s="14" t="s">
        <v>257</v>
      </c>
    </row>
    <row r="14" customFormat="false" ht="33.75" hidden="false" customHeight="true" outlineLevel="0" collapsed="false">
      <c r="A14" s="13" t="s">
        <v>258</v>
      </c>
      <c r="B14" s="14" t="s">
        <v>259</v>
      </c>
      <c r="C14" s="14" t="s">
        <v>260</v>
      </c>
    </row>
    <row r="15" customFormat="false" ht="33.75" hidden="false" customHeight="true" outlineLevel="0" collapsed="false">
      <c r="A15" s="13" t="s">
        <v>261</v>
      </c>
      <c r="B15" s="14" t="s">
        <v>262</v>
      </c>
      <c r="C15" s="14" t="s">
        <v>263</v>
      </c>
    </row>
    <row r="16" customFormat="false" ht="33.75" hidden="false" customHeight="true" outlineLevel="0" collapsed="false">
      <c r="A16" s="13" t="s">
        <v>264</v>
      </c>
      <c r="B16" s="14" t="s">
        <v>265</v>
      </c>
      <c r="C16" s="1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2026-09-29T01:10:06Z</dcterms:created>
  <dc:creator>openpyxl</dc:creator>
  <dc:description/>
  <dc:language>en-US</dc:language>
  <cp:lastModifiedBy/>
  <dcterms:modified xsi:type="dcterms:W3CDTF">2026-09-29T01:10:06Z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