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Resumen" sheetId="2" state="visible" r:id="rId4"/>
    <sheet name="Suelos" sheetId="3" state="visible" r:id="rId5"/>
    <sheet name="Roca" sheetId="4" state="visible" r:id="rId6"/>
    <sheet name="Marcas y fuen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Supuesto [H]: confinamiento máximo en la zona de influencia de una zapata de pocos metros. Cambiarlo recalcula c′ y φ′.</t>
        </r>
      </text>
    </comment>
    <comment ref="G3" authorId="0">
      <text>
        <r>
          <rPr>
            <sz val="10"/>
            <rFont val="Arial"/>
            <family val="2"/>
          </rPr>
          <t xml:space="preserve">D = 0: excavación sin voladura de daño (HOEK tabla 7). Supuesto [H].</t>
        </r>
      </text>
    </comment>
  </commentList>
</comments>
</file>

<file path=xl/sharedStrings.xml><?xml version="1.0" encoding="utf-8"?>
<sst xmlns="http://schemas.openxmlformats.org/spreadsheetml/2006/main" count="270" uniqueCount="147">
  <si>
    <t xml:space="preserve">Cuadro de parámetros geotécnicos adoptados y su rango de sensibilidad</t>
  </si>
  <si>
    <t xml:space="preserve">Objetivo específico 3 · Actividad 3 — Geotecnia de los portales del túnel Ferropista</t>
  </si>
  <si>
    <t xml:space="preserve">Objetivo</t>
  </si>
  <si>
    <t xml:space="preserve">OE 3: Estimar la capacidad portante preliminar del terreno de fundación de las infraestructuras de superficie en los portales de Ibagué y Armenia</t>
  </si>
  <si>
    <t xml:space="preserve">Actividad</t>
  </si>
  <si>
    <t xml:space="preserve">3. Definición de los parámetros geotécnicos de diseño adoptados y de su rango de sensibilidad</t>
  </si>
  <si>
    <t xml:space="preserve">Entregable / formato</t>
  </si>
  <si>
    <t xml:space="preserve">Cuadro de parámetros adoptados · Documento Excel</t>
  </si>
  <si>
    <t xml:space="preserve">Periodo</t>
  </si>
  <si>
    <t xml:space="preserve">Bloque 2 del Plan de Acción (5 oct - 7 nov 2026)</t>
  </si>
  <si>
    <t xml:space="preserve">Responsable asignado</t>
  </si>
  <si>
    <t xml:space="preserve">Tamayo Osorio Miguel Ángel</t>
  </si>
  <si>
    <t xml:space="preserve">Semillero</t>
  </si>
  <si>
    <t xml:space="preserve">Semillero de Investigación GEOPAV · Ingeniería Civil · Universidad de Ibagué · Paz y Región 2026B</t>
  </si>
  <si>
    <t xml:space="preserve">Fecha de elaboración</t>
  </si>
  <si>
    <t xml:space="preserve">28 sep 2026</t>
  </si>
  <si>
    <t xml:space="preserve">Advertencia</t>
  </si>
  <si>
    <t xml:space="preserve">NINGÚN valor proviene de exploración en los portales. Son rangos de fuentes publicadas de materiales análogos o supuestos declarados. No son parámetros de diseño: sirven para el análisis de sensibilidad de la actividad 4 y para dimensionar la exploración que haría falta.</t>
  </si>
  <si>
    <t xml:space="preserve">Índice de hojas</t>
  </si>
  <si>
    <t xml:space="preserve">Resumen</t>
  </si>
  <si>
    <t xml:space="preserve">Tabla 1. Resumen de los seis juegos de parámetros (valor típico y rango)</t>
  </si>
  <si>
    <t xml:space="preserve">Suelos</t>
  </si>
  <si>
    <t xml:space="preserve">Tabla 2. Suelos superficiales S1 y S2 (entradas de la actividad 4, Meyerhof)</t>
  </si>
  <si>
    <t xml:space="preserve">Roca</t>
  </si>
  <si>
    <t xml:space="preserve">Tabla 3. Roca R1-R4: entradas Hoek-Brown y propiedades equivalentes del macizo [CP]</t>
  </si>
  <si>
    <t xml:space="preserve">Marcas y fuentes</t>
  </si>
  <si>
    <t xml:space="preserve">Tabla 4. Marcas F / CP / H y Tabla 5. Fuentes citadas</t>
  </si>
  <si>
    <t xml:space="preserve">Índice de anexos: este cuadro no tiene anexos. Índice de figuras: no tiene figuras. Elaborado con apoyo de IA (Claude) y verificado contra las fuentes citadas: cada valor se leyó en el documento original descargado. Script: OE3_Geotecnia/Act3_Parametros/cuadro_parametros_OE3.py</t>
  </si>
  <si>
    <t xml:space="preserve">Tabla 1. Resumen de los seis juegos de parámetros (valor típico y rango mínimo-máximo)</t>
  </si>
  <si>
    <t xml:space="preserve">Juego</t>
  </si>
  <si>
    <t xml:space="preserve">Portal</t>
  </si>
  <si>
    <t xml:space="preserve">Tipo</t>
  </si>
  <si>
    <t xml:space="preserve">Unidad / material</t>
  </si>
  <si>
    <t xml:space="preserve">c′ típ. (kPa)</t>
  </si>
  <si>
    <t xml:space="preserve">c′ rango</t>
  </si>
  <si>
    <t xml:space="preserve">φ′ típ. (°)</t>
  </si>
  <si>
    <t xml:space="preserve">φ′ rango</t>
  </si>
  <si>
    <t xml:space="preserve">γ típ. (kN/m³)</t>
  </si>
  <si>
    <t xml:space="preserve">Uso</t>
  </si>
  <si>
    <t xml:space="preserve">S1</t>
  </si>
  <si>
    <t xml:space="preserve">Oriental (Ibagué)</t>
  </si>
  <si>
    <t xml:space="preserve">Suelo</t>
  </si>
  <si>
    <t xml:space="preserve">Suelo residual sobre PCAn / Jcdi: Limo arenoso residual de rocas granitoides y neises (zona B del perfil de meteorización)</t>
  </si>
  <si>
    <t xml:space="preserve">Capacidad portante admisible (Act 4, Meyerhof)</t>
  </si>
  <si>
    <t xml:space="preserve">S2</t>
  </si>
  <si>
    <t xml:space="preserve">Occidental (Calarcá)</t>
  </si>
  <si>
    <t xml:space="preserve">Cobertura de cenizas (Andisol) sobre Kqs / Kqv: Ceniza volcánica alofánica (Eje Cafetero)</t>
  </si>
  <si>
    <t xml:space="preserve">R1</t>
  </si>
  <si>
    <t xml:space="preserve">PCAn — Neises y Anfibolitas de Tierradentro — Neis cuarzo-feldespático-biotítico, meteorizado</t>
  </si>
  <si>
    <t xml:space="preserve">Referencia (roca bajo la cobertura); no entra en Meyerhof</t>
  </si>
  <si>
    <t xml:space="preserve">R2</t>
  </si>
  <si>
    <t xml:space="preserve">Jcdi — Batolito de Ibagué — Granodiorita biotítico-hornbléndica</t>
  </si>
  <si>
    <t xml:space="preserve">R3</t>
  </si>
  <si>
    <t xml:space="preserve">Kqs — Fm. Quebradagrande, miembro sedimentario — Grauvacas, lutitas, chert, calizas; localmente cataclasadas</t>
  </si>
  <si>
    <t xml:space="preserve">R4</t>
  </si>
  <si>
    <t xml:space="preserve">Kqv — Fm. Quebradagrande, miembro volcánico — Diabasas y andesitas; sectores de intensa cataclasis</t>
  </si>
  <si>
    <t xml:space="preserve">Fuente: hojas «Suelos» y «Roca». En roca, c′ y φ′ son equivalentes Mohr-Coulomb del macizo [CP] para σ3max de Roca!C3.</t>
  </si>
  <si>
    <t xml:space="preserve">Factores de seguridad para la actividad 4 (NSR-10, tabla H.4.7-1, verificada): CM+CV normal 3,0 · CM+CV máxima 2,5 · CM+CV normal+sismo seudoestático 1,5.</t>
  </si>
  <si>
    <t xml:space="preserve">Tabla 2. Suelos superficiales: parámetros adoptados y rango de sensibilidad</t>
  </si>
  <si>
    <t xml:space="preserve">Texto azul = entrada editable. Fondo amarillo = hipótesis [H]. Estos juegos alimentan la capacidad portante admisible (actividad 4, Meyerhof).</t>
  </si>
  <si>
    <t xml:space="preserve">Material</t>
  </si>
  <si>
    <t xml:space="preserve">Parámetro</t>
  </si>
  <si>
    <t xml:space="preserve">Unidad</t>
  </si>
  <si>
    <t xml:space="preserve">Mínimo</t>
  </si>
  <si>
    <t xml:space="preserve">Típico</t>
  </si>
  <si>
    <t xml:space="preserve">Máximo</t>
  </si>
  <si>
    <t xml:space="preserve">Marca</t>
  </si>
  <si>
    <t xml:space="preserve">Fuente</t>
  </si>
  <si>
    <t xml:space="preserve">Nota</t>
  </si>
  <si>
    <t xml:space="preserve">c′ (cohesión efectiva)</t>
  </si>
  <si>
    <t xml:space="preserve">kPa</t>
  </si>
  <si>
    <t xml:space="preserve">F</t>
  </si>
  <si>
    <t xml:space="preserve">CAR74</t>
  </si>
  <si>
    <t xml:space="preserve">Análogo: Batolito Antioqueño [H]. Zona B: c′ «alrededor de 0,3 kg/cm²» (≈29 kPa). Mínimo 0: el autor indica que la cohesión desaparece con saturación total.</t>
  </si>
  <si>
    <t xml:space="preserve">φ′ (ángulo de fricción efectivo)</t>
  </si>
  <si>
    <t xml:space="preserve">°</t>
  </si>
  <si>
    <t xml:space="preserve">Zona B: φ′ entre 27° y 32°, esfuerzos efectivos.</t>
  </si>
  <si>
    <t xml:space="preserve">γ (peso unitario total)</t>
  </si>
  <si>
    <t xml:space="preserve">kN/m³</t>
  </si>
  <si>
    <t xml:space="preserve">H</t>
  </si>
  <si>
    <t xml:space="preserve">—</t>
  </si>
  <si>
    <t xml:space="preserve">Supuesto. CAR74 reporta «densidad natural» 1,28-1,32 g/cm³, que parece densidad seca; no se usa como γ total.</t>
  </si>
  <si>
    <t xml:space="preserve">c (cohesión, ensayo UU)</t>
  </si>
  <si>
    <t xml:space="preserve">BBM13</t>
  </si>
  <si>
    <t xml:space="preserve">Análogo: Pereira [H]. Leído de la figura 2: 17-39 kPa para S = 71-97 %; decrece al saturarse. Ensayo no drenado, no efectivo.</t>
  </si>
  <si>
    <t xml:space="preserve">φ (ángulo de fricción, UU)</t>
  </si>
  <si>
    <t xml:space="preserve">Leído de la figura 3: 20-40° con dispersión; la mayoría entre 23° y 35°.</t>
  </si>
  <si>
    <t xml:space="preserve">γ (peso unitario húmedo)</t>
  </si>
  <si>
    <t xml:space="preserve">Tabla 1: 11,9-14,4 kN/m³ sin saturar; 12,6-15,6 saturadas. Típico: valor medio adoptado [H].</t>
  </si>
  <si>
    <t xml:space="preserve">Fuente: CAR74 y BBM13 (ver hoja «Marcas y fuentes»). Los análogos no son del sitio del portal [H].</t>
  </si>
  <si>
    <t xml:space="preserve">Tabla 3. Roca: entradas Hoek-Brown y propiedades equivalentes del macizo rocoso</t>
  </si>
  <si>
    <t xml:space="preserve">Criterio generalizado de Hoek-Brown (HCC02). Entradas en azul; propiedades equivalentes calculadas con fórmulas [CP] para el esfuerzo de confinamiento máximo σ3max de la celda C3 (zona de influencia de una cimentación superficial, supuesto [H]).</t>
  </si>
  <si>
    <t xml:space="preserve">σ3max (MPa) [H]</t>
  </si>
  <si>
    <t xml:space="preserve">D (factor de alteración) [H]</t>
  </si>
  <si>
    <t xml:space="preserve">Caso</t>
  </si>
  <si>
    <t xml:space="preserve">σci (MPa)</t>
  </si>
  <si>
    <t xml:space="preserve">mi</t>
  </si>
  <si>
    <t xml:space="preserve">GSI</t>
  </si>
  <si>
    <t xml:space="preserve">mb</t>
  </si>
  <si>
    <t xml:space="preserve">s</t>
  </si>
  <si>
    <t xml:space="preserve">a</t>
  </si>
  <si>
    <t xml:space="preserve">σ3n</t>
  </si>
  <si>
    <t xml:space="preserve">φ′ (°)</t>
  </si>
  <si>
    <t xml:space="preserve">c′ (kPa)</t>
  </si>
  <si>
    <t xml:space="preserve">σcm (MPa)</t>
  </si>
  <si>
    <t xml:space="preserve">γ (kN/m³) [H]</t>
  </si>
  <si>
    <t xml:space="preserve">Notas por juego</t>
  </si>
  <si>
    <t xml:space="preserve">σci</t>
  </si>
  <si>
    <t xml:space="preserve">[H] Roca sana R5 (100-250 MPa, HOEK tabla 2). Se reduce por «intensa meteorización» (memoria 244) [H].</t>
  </si>
  <si>
    <t xml:space="preserve">[F] Neis 28 ± 5 (HOEK tabla 3), medido normal a la foliación.</t>
  </si>
  <si>
    <t xml:space="preserve">[H] Foliado y meteorizado: bloques/fracturado con superficies regulares a pobres [H].</t>
  </si>
  <si>
    <t xml:space="preserve">[H] Roca sana R5 (100-250 MPa, HOEK tabla 2). Reducida por meteorización [H].</t>
  </si>
  <si>
    <t xml:space="preserve">[F] Granodiorita 29 ± 3 (HOEK tabla 3).</t>
  </si>
  <si>
    <t xml:space="preserve">[H] Masiva a fracturada; superficies regulares [H].</t>
  </si>
  <si>
    <t xml:space="preserve">[H] Lutita R3-R4 (25-100 MPa); chert R6. Cataclasis (leyenda 243) y meteorización → rango bajo [H].</t>
  </si>
  <si>
    <t xml:space="preserve">[F] Lutitas 6 ± 2 a grauvacas 18 ± 3 (HOEK tabla 3).</t>
  </si>
  <si>
    <t xml:space="preserve">[H] Macizo heterogéneo tipo flysch, cataclasado (HOEK tabla 6) [H].</t>
  </si>
  <si>
    <t xml:space="preserve">[H] Diabasa R6 (&gt; 250 MPa) en roca sana; intensa cataclasis (leyenda 243) → rango reducido [H].</t>
  </si>
  <si>
    <t xml:space="preserve">[F] Diabasa 15 ± 5 a andesita 25 ± 5 (HOEK tabla 3).</t>
  </si>
  <si>
    <t xml:space="preserve">[H] Fracturado por cataclasis [H].</t>
  </si>
  <si>
    <t xml:space="preserve">Fuente: HOEK (tablas 2 y 3), HCC02 (ecuaciones). γ de roca: rango típico asumido [H], sin tabla de fuente verificada.</t>
  </si>
  <si>
    <t xml:space="preserve">Lectura: con σ3max bajo (cimentación superficial) el ajuste Mohr-Coulomb de Hoek-Brown da φ′ altos y c′ moderados; describen el macizo, NO son parámetros para Meyerhof, que se aplica a los suelos S1 y S2.</t>
  </si>
  <si>
    <t xml:space="preserve">Tabla 4. Marcas de origen</t>
  </si>
  <si>
    <t xml:space="preserve">Significado</t>
  </si>
  <si>
    <t xml:space="preserve">Dato de fuente publicada, leído en el documento original descargado</t>
  </si>
  <si>
    <t xml:space="preserve">CP</t>
  </si>
  <si>
    <t xml:space="preserve">Cálculo propio, reproducible con las fórmulas de este libro y el script citado</t>
  </si>
  <si>
    <t xml:space="preserve">Hipótesis o supuesto del semillero, declarado; fondo amarillo en las celdas</t>
  </si>
  <si>
    <t xml:space="preserve">Tabla 5. Fuentes citadas</t>
  </si>
  <si>
    <t xml:space="preserve">Clave</t>
  </si>
  <si>
    <t xml:space="preserve">Referencia</t>
  </si>
  <si>
    <t xml:space="preserve">Enlace / ruta</t>
  </si>
  <si>
    <t xml:space="preserve">Carrillo C., J. (1974). Propiedades físicas de los suelos derivados del Batolito antioqueño. Universidad Nacional de Colombia, p. 128.</t>
  </si>
  <si>
    <t xml:space="preserve">https://repositorio.unal.edu.co/items/a129a695-229f-4f86-b4f4-5cb217d198e1</t>
  </si>
  <si>
    <t xml:space="preserve">Betancur G., Y., Builes B., M. y Millán Á., Á. (2013). Variación de las propiedades mecánicas de arcillas alófanas en Colombia al variar el grado de saturación. Revista EIA 10(20), 173-181. Tabla 1 y figuras 2-3 (p. 179-180).</t>
  </si>
  <si>
    <t xml:space="preserve">http://www.scielo.org.co/pdf/eia/n20/n20a15.pdf</t>
  </si>
  <si>
    <t xml:space="preserve">HOEK</t>
  </si>
  <si>
    <t xml:space="preserve">Hoek, E. Practical Rock Engineering, cap. 11 «Rock mass properties». Tabla 2 (resistencia por campo) y tabla 3 (mi).</t>
  </si>
  <si>
    <t xml:space="preserve">https://www.rocscience.com/assets/resources/learning/hoek/Practical-Rock-Engineering-Chapter-11-Rock-Mass-Properties.pdf</t>
  </si>
  <si>
    <t xml:space="preserve">HCC02</t>
  </si>
  <si>
    <t xml:space="preserve">Hoek, E., Carranza-Torres, C. y Corkum, B. (2002). Hoek-Brown failure criterion – 2002 edition. Ecuaciones de mb, s, a, c′, φ′ y σcm (reproducidas en HOEK, cap. 11, ec. 11-17).</t>
  </si>
  <si>
    <t xml:space="preserve">NSR10</t>
  </si>
  <si>
    <t xml:space="preserve">NSR-10, Título H, tabla H.4.7-1: factores de seguridad indirectos mínimos 3,0 / 2,5 / 1,5 (verificado en el texto de la norma).</t>
  </si>
  <si>
    <t xml:space="preserve">https://www.scg.org.co/Titulo-H-NSR-10-Decreto%20Final-2010-01-14.pdf</t>
  </si>
  <si>
    <t xml:space="preserve">SGC</t>
  </si>
  <si>
    <t xml:space="preserve">Planchas geológicas 244 Ibagué (1982) y 243 Armenia (1985), SGC/INGEOMINAS, leyendas impresas; memoria 244 y reseña 243. Ver producto de la Act 1.</t>
  </si>
  <si>
    <t xml:space="preserve">OE3_Geotecnia/Act1_Cartografia/Planos_geologicos_portales_OE3.pdf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</si>
</sst>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"/>
    <numFmt numFmtId="167" formatCode="0.000"/>
    <numFmt numFmtId="168" formatCode="0.00000"/>
    <numFmt numFmtId="169" formatCode="0.0000"/>
    <numFmt numFmtId="170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8E2C"/>
      <name val="Arial"/>
      <family val="0"/>
      <charset val="1"/>
    </font>
    <font>
      <sz val="12"/>
      <color rgb="FF193F77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A3412"/>
      <name val="Arial"/>
      <family val="0"/>
      <charset val="1"/>
    </font>
    <font>
      <b val="true"/>
      <sz val="12"/>
      <color rgb="FF193F77"/>
      <name val="Arial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13"/>
      <color rgb="FF193F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93F77"/>
      <name val="Arial"/>
      <family val="0"/>
      <charset val="1"/>
    </font>
    <font>
      <i val="true"/>
      <sz val="9"/>
      <color rgb="FF9A3412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93F77"/>
        <bgColor rgb="FF333399"/>
      </patternFill>
    </fill>
    <fill>
      <patternFill patternType="solid">
        <fgColor rgb="FFFFF7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78E2C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93F77"/>
      <rgbColor rgb="FF339966"/>
      <rgbColor rgb="FF003300"/>
      <rgbColor rgb="FF333300"/>
      <rgbColor rgb="FF9A341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934920</xdr:colOff>
      <xdr:row>4</xdr:row>
      <xdr:rowOff>94680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11320" y="190440"/>
          <a:ext cx="248580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666360</xdr:colOff>
      <xdr:row>4</xdr:row>
      <xdr:rowOff>94680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6414120" y="190440"/>
          <a:ext cx="666360" cy="666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8:G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7" min="2" style="0" width="22"/>
    <col collapsed="false" customWidth="true" hidden="false" outlineLevel="0" max="8" min="8" style="0" width="3"/>
  </cols>
  <sheetData>
    <row r="8" customFormat="false" ht="22.05" hidden="false" customHeight="false" outlineLevel="0" collapsed="false">
      <c r="B8" s="1" t="s">
        <v>0</v>
      </c>
    </row>
    <row r="9" customFormat="false" ht="15" hidden="false" customHeight="false" outlineLevel="0" collapsed="false">
      <c r="B9" s="2" t="s">
        <v>1</v>
      </c>
    </row>
    <row r="11" customFormat="false" ht="57.75" hidden="false" customHeight="true" outlineLevel="0" collapsed="false">
      <c r="B11" s="3" t="s">
        <v>2</v>
      </c>
      <c r="C11" s="4" t="s">
        <v>3</v>
      </c>
      <c r="D11" s="4"/>
      <c r="E11" s="4"/>
      <c r="F11" s="4"/>
      <c r="G11" s="4"/>
    </row>
    <row r="12" customFormat="false" ht="30" hidden="false" customHeight="true" outlineLevel="0" collapsed="false">
      <c r="B12" s="3" t="s">
        <v>4</v>
      </c>
      <c r="C12" s="4" t="s">
        <v>5</v>
      </c>
      <c r="D12" s="4"/>
      <c r="E12" s="4"/>
      <c r="F12" s="4"/>
      <c r="G12" s="4"/>
    </row>
    <row r="13" customFormat="false" ht="30" hidden="false" customHeight="true" outlineLevel="0" collapsed="false">
      <c r="B13" s="3" t="s">
        <v>6</v>
      </c>
      <c r="C13" s="4" t="s">
        <v>7</v>
      </c>
      <c r="D13" s="4"/>
      <c r="E13" s="4"/>
      <c r="F13" s="4"/>
      <c r="G13" s="4"/>
    </row>
    <row r="14" customFormat="false" ht="30" hidden="false" customHeight="true" outlineLevel="0" collapsed="false">
      <c r="B14" s="3" t="s">
        <v>8</v>
      </c>
      <c r="C14" s="4" t="s">
        <v>9</v>
      </c>
      <c r="D14" s="4"/>
      <c r="E14" s="4"/>
      <c r="F14" s="4"/>
      <c r="G14" s="4"/>
    </row>
    <row r="15" customFormat="false" ht="30" hidden="false" customHeight="true" outlineLevel="0" collapsed="false">
      <c r="B15" s="3" t="s">
        <v>10</v>
      </c>
      <c r="C15" s="4" t="s">
        <v>11</v>
      </c>
      <c r="D15" s="4"/>
      <c r="E15" s="4"/>
      <c r="F15" s="4"/>
      <c r="G15" s="4"/>
    </row>
    <row r="16" customFormat="false" ht="30" hidden="false" customHeight="true" outlineLevel="0" collapsed="false">
      <c r="B16" s="3" t="s">
        <v>12</v>
      </c>
      <c r="C16" s="4" t="s">
        <v>13</v>
      </c>
      <c r="D16" s="4"/>
      <c r="E16" s="4"/>
      <c r="F16" s="4"/>
      <c r="G16" s="4"/>
    </row>
    <row r="17" customFormat="false" ht="30" hidden="false" customHeight="true" outlineLevel="0" collapsed="false">
      <c r="B17" s="3" t="s">
        <v>14</v>
      </c>
      <c r="C17" s="4" t="s">
        <v>15</v>
      </c>
      <c r="D17" s="4"/>
      <c r="E17" s="4"/>
      <c r="F17" s="4"/>
      <c r="G17" s="4"/>
    </row>
    <row r="18" customFormat="false" ht="57.75" hidden="false" customHeight="true" outlineLevel="0" collapsed="false">
      <c r="B18" s="3" t="s">
        <v>16</v>
      </c>
      <c r="C18" s="5" t="s">
        <v>17</v>
      </c>
      <c r="D18" s="5"/>
      <c r="E18" s="5"/>
      <c r="F18" s="5"/>
      <c r="G18" s="5"/>
    </row>
    <row r="20" customFormat="false" ht="15" hidden="false" customHeight="false" outlineLevel="0" collapsed="false">
      <c r="B20" s="6" t="s">
        <v>18</v>
      </c>
    </row>
    <row r="21" customFormat="false" ht="15" hidden="false" customHeight="false" outlineLevel="0" collapsed="false">
      <c r="B21" s="7" t="s">
        <v>19</v>
      </c>
      <c r="C21" s="8" t="s">
        <v>20</v>
      </c>
      <c r="D21" s="8"/>
      <c r="E21" s="8"/>
      <c r="F21" s="8"/>
      <c r="G21" s="8"/>
    </row>
    <row r="22" customFormat="false" ht="15" hidden="false" customHeight="false" outlineLevel="0" collapsed="false">
      <c r="B22" s="7" t="s">
        <v>21</v>
      </c>
      <c r="C22" s="8" t="s">
        <v>22</v>
      </c>
      <c r="D22" s="8"/>
      <c r="E22" s="8"/>
      <c r="F22" s="8"/>
      <c r="G22" s="8"/>
    </row>
    <row r="23" customFormat="false" ht="15" hidden="false" customHeight="false" outlineLevel="0" collapsed="false">
      <c r="B23" s="7" t="s">
        <v>23</v>
      </c>
      <c r="C23" s="8" t="s">
        <v>24</v>
      </c>
      <c r="D23" s="8"/>
      <c r="E23" s="8"/>
      <c r="F23" s="8"/>
      <c r="G23" s="8"/>
    </row>
    <row r="24" customFormat="false" ht="15" hidden="false" customHeight="false" outlineLevel="0" collapsed="false">
      <c r="B24" s="7" t="s">
        <v>25</v>
      </c>
      <c r="C24" s="8" t="s">
        <v>26</v>
      </c>
      <c r="D24" s="8"/>
      <c r="E24" s="8"/>
      <c r="F24" s="8"/>
      <c r="G24" s="8"/>
    </row>
    <row r="26" customFormat="false" ht="15" hidden="false" customHeight="true" outlineLevel="0" collapsed="false">
      <c r="B26" s="9" t="s">
        <v>27</v>
      </c>
      <c r="C26" s="9"/>
      <c r="D26" s="9"/>
      <c r="E26" s="9"/>
      <c r="F26" s="9"/>
      <c r="G26" s="9"/>
    </row>
    <row r="27" customFormat="false" ht="15" hidden="false" customHeight="false" outlineLevel="0" collapsed="false">
      <c r="B27" s="9"/>
      <c r="C27" s="9"/>
      <c r="D27" s="9"/>
      <c r="E27" s="9"/>
      <c r="F27" s="9"/>
      <c r="G27" s="9"/>
    </row>
    <row r="28" customFormat="false" ht="15" hidden="false" customHeight="false" outlineLevel="0" collapsed="false">
      <c r="B28" s="9"/>
      <c r="C28" s="9"/>
      <c r="D28" s="9"/>
      <c r="E28" s="9"/>
      <c r="F28" s="9"/>
      <c r="G28" s="9"/>
    </row>
  </sheetData>
  <mergeCells count="13">
    <mergeCell ref="C11:G11"/>
    <mergeCell ref="C12:G12"/>
    <mergeCell ref="C13:G13"/>
    <mergeCell ref="C14:G14"/>
    <mergeCell ref="C15:G15"/>
    <mergeCell ref="C16:G16"/>
    <mergeCell ref="C17:G17"/>
    <mergeCell ref="C18:G18"/>
    <mergeCell ref="C21:G21"/>
    <mergeCell ref="C22:G22"/>
    <mergeCell ref="C23:G23"/>
    <mergeCell ref="C24:G24"/>
    <mergeCell ref="B26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7"/>
    <col collapsed="false" customWidth="true" hidden="false" outlineLevel="0" max="3" min="3" style="0" width="8"/>
    <col collapsed="false" customWidth="true" hidden="false" outlineLevel="0" max="4" min="4" style="0" width="44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0" min="10" style="0" width="34"/>
  </cols>
  <sheetData>
    <row r="1" customFormat="false" ht="16.15" hidden="false" customHeight="false" outlineLevel="0" collapsed="false">
      <c r="A1" s="10" t="s">
        <v>28</v>
      </c>
    </row>
    <row r="3" customFormat="false" ht="15" hidden="false" customHeight="false" outlineLevel="0" collapsed="false">
      <c r="A3" s="11" t="s">
        <v>29</v>
      </c>
      <c r="B3" s="11" t="s">
        <v>30</v>
      </c>
      <c r="C3" s="11" t="s">
        <v>31</v>
      </c>
      <c r="D3" s="11" t="s">
        <v>32</v>
      </c>
      <c r="E3" s="11" t="s">
        <v>33</v>
      </c>
      <c r="F3" s="11" t="s">
        <v>34</v>
      </c>
      <c r="G3" s="11" t="s">
        <v>35</v>
      </c>
      <c r="H3" s="11" t="s">
        <v>36</v>
      </c>
      <c r="I3" s="11" t="s">
        <v>37</v>
      </c>
      <c r="J3" s="11" t="s">
        <v>38</v>
      </c>
    </row>
    <row r="4" customFormat="false" ht="30" hidden="false" customHeight="true" outlineLevel="0" collapsed="false">
      <c r="A4" s="12" t="s">
        <v>39</v>
      </c>
      <c r="B4" s="12" t="s">
        <v>40</v>
      </c>
      <c r="C4" s="12" t="s">
        <v>41</v>
      </c>
      <c r="D4" s="13" t="s">
        <v>42</v>
      </c>
      <c r="E4" s="14" t="n">
        <f aca="false">Suelos!G5</f>
        <v>15</v>
      </c>
      <c r="F4" s="12" t="str">
        <f aca="false">TEXT(Suelos!F5,"0")&amp;" – "&amp;TEXT(Suelos!H5,"0")</f>
        <v>0 – 29</v>
      </c>
      <c r="G4" s="14" t="n">
        <f aca="false">Suelos!G6</f>
        <v>30</v>
      </c>
      <c r="H4" s="12" t="str">
        <f aca="false">TEXT(Suelos!F6,"0")&amp;" – "&amp;TEXT(Suelos!H6,"0")</f>
        <v>27 – 32</v>
      </c>
      <c r="I4" s="15" t="n">
        <f aca="false">Suelos!G7</f>
        <v>17</v>
      </c>
      <c r="J4" s="13" t="s">
        <v>43</v>
      </c>
    </row>
    <row r="5" customFormat="false" ht="30" hidden="false" customHeight="true" outlineLevel="0" collapsed="false">
      <c r="A5" s="12" t="s">
        <v>44</v>
      </c>
      <c r="B5" s="12" t="s">
        <v>45</v>
      </c>
      <c r="C5" s="12" t="s">
        <v>41</v>
      </c>
      <c r="D5" s="13" t="s">
        <v>46</v>
      </c>
      <c r="E5" s="14" t="n">
        <f aca="false">Suelos!G8</f>
        <v>25</v>
      </c>
      <c r="F5" s="12" t="str">
        <f aca="false">TEXT(Suelos!F8,"0")&amp;" – "&amp;TEXT(Suelos!H8,"0")</f>
        <v>15 – 35</v>
      </c>
      <c r="G5" s="14" t="n">
        <f aca="false">Suelos!G9</f>
        <v>28</v>
      </c>
      <c r="H5" s="12" t="str">
        <f aca="false">TEXT(Suelos!F9,"0")&amp;" – "&amp;TEXT(Suelos!H9,"0")</f>
        <v>23 – 33</v>
      </c>
      <c r="I5" s="15" t="n">
        <f aca="false">Suelos!G10</f>
        <v>13.5</v>
      </c>
      <c r="J5" s="13" t="s">
        <v>43</v>
      </c>
    </row>
    <row r="6" customFormat="false" ht="30" hidden="false" customHeight="true" outlineLevel="0" collapsed="false">
      <c r="A6" s="12" t="s">
        <v>47</v>
      </c>
      <c r="B6" s="12" t="s">
        <v>40</v>
      </c>
      <c r="C6" s="12" t="s">
        <v>23</v>
      </c>
      <c r="D6" s="13" t="s">
        <v>48</v>
      </c>
      <c r="E6" s="14" t="n">
        <f aca="false">Roca!M7</f>
        <v>375.376439243755</v>
      </c>
      <c r="F6" s="12" t="str">
        <f aca="false">TEXT(Roca!M6,"0")&amp;" – "&amp;TEXT(Roca!M8,"0")</f>
        <v>203 – 753</v>
      </c>
      <c r="G6" s="14" t="n">
        <f aca="false">Roca!L7</f>
        <v>62.4449731248574</v>
      </c>
      <c r="H6" s="12" t="str">
        <f aca="false">TEXT(Roca!L6,"0")&amp;" – "&amp;TEXT(Roca!L8,"0")</f>
        <v>52 – 68</v>
      </c>
      <c r="I6" s="15" t="n">
        <f aca="false">Roca!O7</f>
        <v>26</v>
      </c>
      <c r="J6" s="13" t="s">
        <v>49</v>
      </c>
    </row>
    <row r="7" customFormat="false" ht="30" hidden="false" customHeight="true" outlineLevel="0" collapsed="false">
      <c r="A7" s="12" t="s">
        <v>50</v>
      </c>
      <c r="B7" s="12" t="s">
        <v>40</v>
      </c>
      <c r="C7" s="12" t="s">
        <v>23</v>
      </c>
      <c r="D7" s="13" t="s">
        <v>51</v>
      </c>
      <c r="E7" s="14" t="n">
        <f aca="false">Roca!M10</f>
        <v>513.752585423496</v>
      </c>
      <c r="F7" s="12" t="str">
        <f aca="false">TEXT(Roca!M9,"0")&amp;" – "&amp;TEXT(Roca!M11,"0")</f>
        <v>231 – 1300</v>
      </c>
      <c r="G7" s="14" t="n">
        <f aca="false">Roca!L10</f>
        <v>65.4387086455072</v>
      </c>
      <c r="H7" s="12" t="str">
        <f aca="false">TEXT(Roca!L9,"0")&amp;" – "&amp;TEXT(Roca!L11,"0")</f>
        <v>54 – 70</v>
      </c>
      <c r="I7" s="15" t="n">
        <f aca="false">Roca!O10</f>
        <v>26</v>
      </c>
      <c r="J7" s="13" t="s">
        <v>49</v>
      </c>
    </row>
    <row r="8" customFormat="false" ht="30" hidden="false" customHeight="true" outlineLevel="0" collapsed="false">
      <c r="A8" s="12" t="s">
        <v>52</v>
      </c>
      <c r="B8" s="12" t="s">
        <v>45</v>
      </c>
      <c r="C8" s="12" t="s">
        <v>23</v>
      </c>
      <c r="D8" s="13" t="s">
        <v>53</v>
      </c>
      <c r="E8" s="14" t="n">
        <f aca="false">Roca!M13</f>
        <v>185.306522248224</v>
      </c>
      <c r="F8" s="12" t="str">
        <f aca="false">TEXT(Roca!M12,"0")&amp;" – "&amp;TEXT(Roca!M14,"0")</f>
        <v>79 – 342</v>
      </c>
      <c r="G8" s="14" t="n">
        <f aca="false">Roca!L13</f>
        <v>47.6255439533085</v>
      </c>
      <c r="H8" s="12" t="str">
        <f aca="false">TEXT(Roca!L12,"0")&amp;" – "&amp;TEXT(Roca!L14,"0")</f>
        <v>28 – 59</v>
      </c>
      <c r="I8" s="15" t="n">
        <f aca="false">Roca!O13</f>
        <v>26</v>
      </c>
      <c r="J8" s="13" t="s">
        <v>49</v>
      </c>
    </row>
    <row r="9" customFormat="false" ht="30" hidden="false" customHeight="true" outlineLevel="0" collapsed="false">
      <c r="A9" s="12" t="s">
        <v>54</v>
      </c>
      <c r="B9" s="12" t="s">
        <v>45</v>
      </c>
      <c r="C9" s="12" t="s">
        <v>23</v>
      </c>
      <c r="D9" s="13" t="s">
        <v>55</v>
      </c>
      <c r="E9" s="14" t="n">
        <f aca="false">Roca!M16</f>
        <v>349.573358289958</v>
      </c>
      <c r="F9" s="12" t="str">
        <f aca="false">TEXT(Roca!M15,"0")&amp;" – "&amp;TEXT(Roca!M17,"0")</f>
        <v>161 – 843</v>
      </c>
      <c r="G9" s="14" t="n">
        <f aca="false">Roca!L16</f>
        <v>60.0781848142222</v>
      </c>
      <c r="H9" s="12" t="str">
        <f aca="false">TEXT(Roca!L15,"0")&amp;" – "&amp;TEXT(Roca!L17,"0")</f>
        <v>46 – 68</v>
      </c>
      <c r="I9" s="15" t="n">
        <f aca="false">Roca!O16</f>
        <v>26</v>
      </c>
      <c r="J9" s="13" t="s">
        <v>49</v>
      </c>
    </row>
    <row r="11" customFormat="false" ht="15" hidden="false" customHeight="false" outlineLevel="0" collapsed="false">
      <c r="A11" s="16" t="s">
        <v>56</v>
      </c>
    </row>
    <row r="12" customFormat="false" ht="15" hidden="false" customHeight="false" outlineLevel="0" collapsed="false">
      <c r="A12" s="16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7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8"/>
    <col collapsed="false" customWidth="true" hidden="false" outlineLevel="0" max="8" min="6" style="0" width="9"/>
    <col collapsed="false" customWidth="true" hidden="false" outlineLevel="0" max="9" min="9" style="0" width="7"/>
    <col collapsed="false" customWidth="true" hidden="false" outlineLevel="0" max="10" min="10" style="0" width="9"/>
    <col collapsed="false" customWidth="true" hidden="false" outlineLevel="0" max="11" min="11" style="0" width="70"/>
  </cols>
  <sheetData>
    <row r="1" customFormat="false" ht="16.15" hidden="false" customHeight="false" outlineLevel="0" collapsed="false">
      <c r="A1" s="10" t="s">
        <v>58</v>
      </c>
    </row>
    <row r="2" customFormat="false" ht="15" hidden="false" customHeight="false" outlineLevel="0" collapsed="false">
      <c r="A2" s="16" t="s">
        <v>59</v>
      </c>
    </row>
    <row r="4" customFormat="false" ht="15" hidden="false" customHeight="false" outlineLevel="0" collapsed="false">
      <c r="A4" s="11" t="s">
        <v>29</v>
      </c>
      <c r="B4" s="11" t="s">
        <v>30</v>
      </c>
      <c r="C4" s="11" t="s">
        <v>60</v>
      </c>
      <c r="D4" s="11" t="s">
        <v>61</v>
      </c>
      <c r="E4" s="11" t="s">
        <v>62</v>
      </c>
      <c r="F4" s="11" t="s">
        <v>63</v>
      </c>
      <c r="G4" s="11" t="s">
        <v>64</v>
      </c>
      <c r="H4" s="11" t="s">
        <v>65</v>
      </c>
      <c r="I4" s="11" t="s">
        <v>66</v>
      </c>
      <c r="J4" s="11" t="s">
        <v>67</v>
      </c>
      <c r="K4" s="11" t="s">
        <v>68</v>
      </c>
    </row>
    <row r="5" customFormat="false" ht="42" hidden="false" customHeight="true" outlineLevel="0" collapsed="false">
      <c r="A5" s="17" t="s">
        <v>39</v>
      </c>
      <c r="B5" s="12" t="s">
        <v>40</v>
      </c>
      <c r="C5" s="13" t="s">
        <v>42</v>
      </c>
      <c r="D5" s="12" t="s">
        <v>69</v>
      </c>
      <c r="E5" s="12" t="s">
        <v>70</v>
      </c>
      <c r="F5" s="18" t="n">
        <v>0</v>
      </c>
      <c r="G5" s="18" t="n">
        <v>15</v>
      </c>
      <c r="H5" s="18" t="n">
        <v>29</v>
      </c>
      <c r="I5" s="17" t="s">
        <v>71</v>
      </c>
      <c r="J5" s="12" t="s">
        <v>72</v>
      </c>
      <c r="K5" s="13" t="s">
        <v>73</v>
      </c>
    </row>
    <row r="6" customFormat="false" ht="42" hidden="false" customHeight="true" outlineLevel="0" collapsed="false">
      <c r="A6" s="17" t="s">
        <v>39</v>
      </c>
      <c r="B6" s="12" t="s">
        <v>40</v>
      </c>
      <c r="C6" s="13" t="s">
        <v>42</v>
      </c>
      <c r="D6" s="12" t="s">
        <v>74</v>
      </c>
      <c r="E6" s="12" t="s">
        <v>75</v>
      </c>
      <c r="F6" s="18" t="n">
        <v>27</v>
      </c>
      <c r="G6" s="18" t="n">
        <v>30</v>
      </c>
      <c r="H6" s="18" t="n">
        <v>32</v>
      </c>
      <c r="I6" s="17" t="s">
        <v>71</v>
      </c>
      <c r="J6" s="12" t="s">
        <v>72</v>
      </c>
      <c r="K6" s="13" t="s">
        <v>76</v>
      </c>
    </row>
    <row r="7" customFormat="false" ht="42" hidden="false" customHeight="true" outlineLevel="0" collapsed="false">
      <c r="A7" s="17" t="s">
        <v>39</v>
      </c>
      <c r="B7" s="12" t="s">
        <v>40</v>
      </c>
      <c r="C7" s="13" t="s">
        <v>42</v>
      </c>
      <c r="D7" s="12" t="s">
        <v>77</v>
      </c>
      <c r="E7" s="12" t="s">
        <v>78</v>
      </c>
      <c r="F7" s="19" t="n">
        <v>16</v>
      </c>
      <c r="G7" s="19" t="n">
        <v>17</v>
      </c>
      <c r="H7" s="19" t="n">
        <v>18</v>
      </c>
      <c r="I7" s="17" t="s">
        <v>79</v>
      </c>
      <c r="J7" s="12" t="s">
        <v>80</v>
      </c>
      <c r="K7" s="13" t="s">
        <v>81</v>
      </c>
    </row>
    <row r="8" customFormat="false" ht="42" hidden="false" customHeight="true" outlineLevel="0" collapsed="false">
      <c r="A8" s="17" t="s">
        <v>44</v>
      </c>
      <c r="B8" s="12" t="s">
        <v>45</v>
      </c>
      <c r="C8" s="13" t="s">
        <v>46</v>
      </c>
      <c r="D8" s="12" t="s">
        <v>82</v>
      </c>
      <c r="E8" s="12" t="s">
        <v>70</v>
      </c>
      <c r="F8" s="18" t="n">
        <v>15</v>
      </c>
      <c r="G8" s="18" t="n">
        <v>25</v>
      </c>
      <c r="H8" s="18" t="n">
        <v>35</v>
      </c>
      <c r="I8" s="17" t="s">
        <v>71</v>
      </c>
      <c r="J8" s="12" t="s">
        <v>83</v>
      </c>
      <c r="K8" s="13" t="s">
        <v>84</v>
      </c>
    </row>
    <row r="9" customFormat="false" ht="42" hidden="false" customHeight="true" outlineLevel="0" collapsed="false">
      <c r="A9" s="17" t="s">
        <v>44</v>
      </c>
      <c r="B9" s="12" t="s">
        <v>45</v>
      </c>
      <c r="C9" s="13" t="s">
        <v>46</v>
      </c>
      <c r="D9" s="12" t="s">
        <v>85</v>
      </c>
      <c r="E9" s="12" t="s">
        <v>75</v>
      </c>
      <c r="F9" s="18" t="n">
        <v>23</v>
      </c>
      <c r="G9" s="18" t="n">
        <v>28</v>
      </c>
      <c r="H9" s="18" t="n">
        <v>33</v>
      </c>
      <c r="I9" s="17" t="s">
        <v>71</v>
      </c>
      <c r="J9" s="12" t="s">
        <v>83</v>
      </c>
      <c r="K9" s="13" t="s">
        <v>86</v>
      </c>
    </row>
    <row r="10" customFormat="false" ht="42" hidden="false" customHeight="true" outlineLevel="0" collapsed="false">
      <c r="A10" s="17" t="s">
        <v>44</v>
      </c>
      <c r="B10" s="12" t="s">
        <v>45</v>
      </c>
      <c r="C10" s="13" t="s">
        <v>46</v>
      </c>
      <c r="D10" s="12" t="s">
        <v>87</v>
      </c>
      <c r="E10" s="12" t="s">
        <v>78</v>
      </c>
      <c r="F10" s="20" t="n">
        <v>11.9</v>
      </c>
      <c r="G10" s="20" t="n">
        <v>13.5</v>
      </c>
      <c r="H10" s="20" t="n">
        <v>15.6</v>
      </c>
      <c r="I10" s="17" t="s">
        <v>71</v>
      </c>
      <c r="J10" s="12" t="s">
        <v>83</v>
      </c>
      <c r="K10" s="13" t="s">
        <v>88</v>
      </c>
    </row>
    <row r="12" customFormat="false" ht="15" hidden="false" customHeight="false" outlineLevel="0" collapsed="false">
      <c r="A12" s="16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7"/>
    <col collapsed="false" customWidth="true" hidden="false" outlineLevel="0" max="3" min="3" style="0" width="36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7" min="6" style="0" width="8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2" min="10" style="0" width="9"/>
    <col collapsed="false" customWidth="true" hidden="false" outlineLevel="0" max="14" min="13" style="0" width="10"/>
    <col collapsed="false" customWidth="true" hidden="false" outlineLevel="0" max="15" min="15" style="0" width="12"/>
  </cols>
  <sheetData>
    <row r="1" customFormat="false" ht="16.15" hidden="false" customHeight="false" outlineLevel="0" collapsed="false">
      <c r="A1" s="10" t="s">
        <v>90</v>
      </c>
    </row>
    <row r="2" customFormat="false" ht="15" hidden="false" customHeight="false" outlineLevel="0" collapsed="false">
      <c r="A2" s="16" t="s">
        <v>91</v>
      </c>
    </row>
    <row r="3" customFormat="false" ht="15" hidden="false" customHeight="false" outlineLevel="0" collapsed="false">
      <c r="A3" s="7" t="s">
        <v>92</v>
      </c>
      <c r="C3" s="21" t="n">
        <v>0.5</v>
      </c>
      <c r="E3" s="7" t="s">
        <v>93</v>
      </c>
      <c r="G3" s="21" t="n">
        <v>0</v>
      </c>
    </row>
    <row r="5" customFormat="false" ht="15" hidden="false" customHeight="false" outlineLevel="0" collapsed="false">
      <c r="A5" s="11" t="s">
        <v>29</v>
      </c>
      <c r="B5" s="11" t="s">
        <v>30</v>
      </c>
      <c r="C5" s="11" t="s">
        <v>62</v>
      </c>
      <c r="D5" s="11" t="s">
        <v>94</v>
      </c>
      <c r="E5" s="11" t="s">
        <v>95</v>
      </c>
      <c r="F5" s="11" t="s">
        <v>96</v>
      </c>
      <c r="G5" s="11" t="s">
        <v>97</v>
      </c>
      <c r="H5" s="11" t="s">
        <v>98</v>
      </c>
      <c r="I5" s="11" t="s">
        <v>99</v>
      </c>
      <c r="J5" s="11" t="s">
        <v>100</v>
      </c>
      <c r="K5" s="11" t="s">
        <v>101</v>
      </c>
      <c r="L5" s="11" t="s">
        <v>102</v>
      </c>
      <c r="M5" s="11" t="s">
        <v>103</v>
      </c>
      <c r="N5" s="11" t="s">
        <v>104</v>
      </c>
      <c r="O5" s="11" t="s">
        <v>105</v>
      </c>
    </row>
    <row r="6" customFormat="false" ht="30" hidden="false" customHeight="true" outlineLevel="0" collapsed="false">
      <c r="A6" s="17" t="s">
        <v>47</v>
      </c>
      <c r="B6" s="12" t="s">
        <v>40</v>
      </c>
      <c r="C6" s="13" t="s">
        <v>48</v>
      </c>
      <c r="D6" s="12" t="s">
        <v>63</v>
      </c>
      <c r="E6" s="19" t="n">
        <v>25</v>
      </c>
      <c r="F6" s="18" t="n">
        <v>23</v>
      </c>
      <c r="G6" s="19" t="n">
        <v>30</v>
      </c>
      <c r="H6" s="22" t="n">
        <f aca="false">F6*EXP((G6-100)/(28-14*$G$3))</f>
        <v>1.88795496834967</v>
      </c>
      <c r="I6" s="23" t="n">
        <f aca="false">EXP((G6-100)/(9-3*$G$3))</f>
        <v>0.000418942123448384</v>
      </c>
      <c r="J6" s="22" t="n">
        <f aca="false">0.5+(EXP(-G6/15)-EXP(-20/3))/6</f>
        <v>0.522343774905879</v>
      </c>
      <c r="K6" s="24" t="n">
        <f aca="false">$C$3/E6</f>
        <v>0.02</v>
      </c>
      <c r="L6" s="15" t="n">
        <f aca="false">DEGREES(ASIN((6*J6*H6*(I6+H6*K6)^(J6-1))/(2*(1+J6)*(2+J6)+(6*J6*H6*(I6+H6*K6)^(J6-1)))))</f>
        <v>51.7827102451821</v>
      </c>
      <c r="M6" s="14" t="n">
        <f aca="false">1000*E6*((1+2*J6)*I6+(1-J6)*H6*K6)*(I6+H6*K6)^(J6-1)/((1+J6)*(2+J6)*SQRT(1+(6*J6*H6*(I6+H6*K6)^(J6-1))/((1+J6)*(2+J6))))</f>
        <v>202.74865740893</v>
      </c>
      <c r="N6" s="25" t="n">
        <f aca="false">E6*(H6+4*I6-J6*(H6-8*I6))*(H6/4+I6)^(J6-1)/(2*(1+J6)*(2+J6))</f>
        <v>4.2161068765913</v>
      </c>
      <c r="O6" s="19" t="n">
        <v>25</v>
      </c>
    </row>
    <row r="7" customFormat="false" ht="30" hidden="false" customHeight="true" outlineLevel="0" collapsed="false">
      <c r="A7" s="17" t="s">
        <v>47</v>
      </c>
      <c r="B7" s="12" t="s">
        <v>40</v>
      </c>
      <c r="C7" s="13" t="s">
        <v>48</v>
      </c>
      <c r="D7" s="12" t="s">
        <v>64</v>
      </c>
      <c r="E7" s="19" t="n">
        <v>60</v>
      </c>
      <c r="F7" s="18" t="n">
        <v>28</v>
      </c>
      <c r="G7" s="19" t="n">
        <v>42</v>
      </c>
      <c r="H7" s="22" t="n">
        <f aca="false">F7*EXP((G7-100)/(28-14*$G$3))</f>
        <v>3.52815806006473</v>
      </c>
      <c r="I7" s="23" t="n">
        <f aca="false">EXP((G7-100)/(9-3*$G$3))</f>
        <v>0.00158932728345653</v>
      </c>
      <c r="J7" s="22" t="n">
        <f aca="false">0.5+(EXP(-G7/15)-EXP(-20/3))/6</f>
        <v>0.50992290480398</v>
      </c>
      <c r="K7" s="24" t="n">
        <f aca="false">$C$3/E7</f>
        <v>0.00833333333333333</v>
      </c>
      <c r="L7" s="15" t="n">
        <f aca="false">DEGREES(ASIN((6*J7*H7*(I7+H7*K7)^(J7-1))/(2*(1+J7)*(2+J7)+(6*J7*H7*(I7+H7*K7)^(J7-1)))))</f>
        <v>62.4449731248574</v>
      </c>
      <c r="M7" s="14" t="n">
        <f aca="false">1000*E7*((1+2*J7)*I7+(1-J7)*H7*K7)*(I7+H7*K7)^(J7-1)/((1+J7)*(2+J7)*SQRT(1+(6*J7*H7*(I7+H7*K7)^(J7-1))/((1+J7)*(2+J7))))</f>
        <v>375.376439243755</v>
      </c>
      <c r="N7" s="25" t="n">
        <f aca="false">E7*(H7+4*I7-J7*(H7-8*I7))*(H7/4+I7)^(J7-1)/(2*(1+J7)*(2+J7))</f>
        <v>14.6508820141378</v>
      </c>
      <c r="O7" s="19" t="n">
        <v>26</v>
      </c>
    </row>
    <row r="8" customFormat="false" ht="30" hidden="false" customHeight="true" outlineLevel="0" collapsed="false">
      <c r="A8" s="17" t="s">
        <v>47</v>
      </c>
      <c r="B8" s="12" t="s">
        <v>40</v>
      </c>
      <c r="C8" s="13" t="s">
        <v>48</v>
      </c>
      <c r="D8" s="12" t="s">
        <v>65</v>
      </c>
      <c r="E8" s="19" t="n">
        <v>100</v>
      </c>
      <c r="F8" s="18" t="n">
        <v>33</v>
      </c>
      <c r="G8" s="19" t="n">
        <v>55</v>
      </c>
      <c r="H8" s="22" t="n">
        <f aca="false">F8*EXP((G8-100)/(28-14*$G$3))</f>
        <v>6.61516476024741</v>
      </c>
      <c r="I8" s="23" t="n">
        <f aca="false">EXP((G8-100)/(9-3*$G$3))</f>
        <v>0.00673794699908547</v>
      </c>
      <c r="J8" s="22" t="n">
        <f aca="false">0.5+(EXP(-G8/15)-EXP(-20/3))/6</f>
        <v>0.504048149900861</v>
      </c>
      <c r="K8" s="24" t="n">
        <f aca="false">$C$3/E8</f>
        <v>0.005</v>
      </c>
      <c r="L8" s="15" t="n">
        <f aca="false">DEGREES(ASIN((6*J8*H8*(I8+H8*K8)^(J8-1))/(2*(1+J8)*(2+J8)+(6*J8*H8*(I8+H8*K8)^(J8-1)))))</f>
        <v>68.3214781009391</v>
      </c>
      <c r="M8" s="14" t="n">
        <f aca="false">1000*E8*((1+2*J8)*I8+(1-J8)*H8*K8)*(I8+H8*K8)^(J8-1)/((1+J8)*(2+J8)*SQRT(1+(6*J8*H8*(I8+H8*K8)^(J8-1))/((1+J8)*(2+J8))))</f>
        <v>752.809178108658</v>
      </c>
      <c r="N8" s="25" t="n">
        <f aca="false">E8*(H8+4*I8-J8*(H8-8*I8))*(H8/4+I8)^(J8-1)/(2*(1+J8)*(2+J8))</f>
        <v>34.4286504456347</v>
      </c>
      <c r="O8" s="19" t="n">
        <v>27</v>
      </c>
    </row>
    <row r="9" customFormat="false" ht="30" hidden="false" customHeight="true" outlineLevel="0" collapsed="false">
      <c r="A9" s="17" t="s">
        <v>50</v>
      </c>
      <c r="B9" s="12" t="s">
        <v>40</v>
      </c>
      <c r="C9" s="13" t="s">
        <v>51</v>
      </c>
      <c r="D9" s="12" t="s">
        <v>63</v>
      </c>
      <c r="E9" s="19" t="n">
        <v>25</v>
      </c>
      <c r="F9" s="18" t="n">
        <v>26</v>
      </c>
      <c r="G9" s="19" t="n">
        <v>35</v>
      </c>
      <c r="H9" s="22" t="n">
        <f aca="false">F9*EXP((G9-100)/(28-14*$G$3))</f>
        <v>2.55146566997967</v>
      </c>
      <c r="I9" s="23" t="n">
        <f aca="false">EXP((G9-100)/(9-3*$G$3))</f>
        <v>0.000730177996864798</v>
      </c>
      <c r="J9" s="22" t="n">
        <f aca="false">0.5+(EXP(-G9/15)-EXP(-20/3))/6</f>
        <v>0.515949889010511</v>
      </c>
      <c r="K9" s="24" t="n">
        <f aca="false">$C$3/E9</f>
        <v>0.02</v>
      </c>
      <c r="L9" s="15" t="n">
        <f aca="false">DEGREES(ASIN((6*J9*H9*(I9+H9*K9)^(J9-1))/(2*(1+J9)*(2+J9)+(6*J9*H9*(I9+H9*K9)^(J9-1)))))</f>
        <v>54.368585458242</v>
      </c>
      <c r="M9" s="14" t="n">
        <f aca="false">1000*E9*((1+2*J9)*I9+(1-J9)*H9*K9)*(I9+H9*K9)^(J9-1)/((1+J9)*(2+J9)*SQRT(1+(6*J9*H9*(I9+H9*K9)^(J9-1))/((1+J9)*(2+J9))))</f>
        <v>231.254752390638</v>
      </c>
      <c r="N9" s="25" t="n">
        <f aca="false">E9*(H9+4*I9-J9*(H9-8*I9))*(H9/4+I9)^(J9-1)/(2*(1+J9)*(2+J9))</f>
        <v>5.05318492453624</v>
      </c>
      <c r="O9" s="19" t="n">
        <v>25</v>
      </c>
    </row>
    <row r="10" customFormat="false" ht="30" hidden="false" customHeight="true" outlineLevel="0" collapsed="false">
      <c r="A10" s="17" t="s">
        <v>50</v>
      </c>
      <c r="B10" s="12" t="s">
        <v>40</v>
      </c>
      <c r="C10" s="13" t="s">
        <v>51</v>
      </c>
      <c r="D10" s="12" t="s">
        <v>64</v>
      </c>
      <c r="E10" s="19" t="n">
        <v>80</v>
      </c>
      <c r="F10" s="18" t="n">
        <v>29</v>
      </c>
      <c r="G10" s="19" t="n">
        <v>48</v>
      </c>
      <c r="H10" s="22" t="n">
        <f aca="false">F10*EXP((G10-100)/(28-14*$G$3))</f>
        <v>4.52742331416316</v>
      </c>
      <c r="I10" s="23" t="n">
        <f aca="false">EXP((G10-100)/(9-3*$G$3))</f>
        <v>0.00309558685236524</v>
      </c>
      <c r="J10" s="22" t="n">
        <f aca="false">0.5+(EXP(-G10/15)-EXP(-20/3))/6</f>
        <v>0.506581595029504</v>
      </c>
      <c r="K10" s="24" t="n">
        <f aca="false">$C$3/E10</f>
        <v>0.00625</v>
      </c>
      <c r="L10" s="15" t="n">
        <f aca="false">DEGREES(ASIN((6*J10*H10*(I10+H10*K10)^(J10-1))/(2*(1+J10)*(2+J10)+(6*J10*H10*(I10+H10*K10)^(J10-1)))))</f>
        <v>65.4387086455072</v>
      </c>
      <c r="M10" s="14" t="n">
        <f aca="false">1000*E10*((1+2*J10)*I10+(1-J10)*H10*K10)*(I10+H10*K10)^(J10-1)/((1+J10)*(2+J10)*SQRT(1+(6*J10*H10*(I10+H10*K10)^(J10-1))/((1+J10)*(2+J10))))</f>
        <v>513.752585423496</v>
      </c>
      <c r="N10" s="25" t="n">
        <f aca="false">E10*(H10+4*I10-J10*(H10-8*I10))*(H10/4+I10)^(J10-1)/(2*(1+J10)*(2+J10))</f>
        <v>22.4773175923883</v>
      </c>
      <c r="O10" s="19" t="n">
        <v>26</v>
      </c>
    </row>
    <row r="11" customFormat="false" ht="30" hidden="false" customHeight="true" outlineLevel="0" collapsed="false">
      <c r="A11" s="17" t="s">
        <v>50</v>
      </c>
      <c r="B11" s="12" t="s">
        <v>40</v>
      </c>
      <c r="C11" s="13" t="s">
        <v>51</v>
      </c>
      <c r="D11" s="12" t="s">
        <v>65</v>
      </c>
      <c r="E11" s="19" t="n">
        <v>150</v>
      </c>
      <c r="F11" s="18" t="n">
        <v>32</v>
      </c>
      <c r="G11" s="19" t="n">
        <v>60</v>
      </c>
      <c r="H11" s="22" t="n">
        <f aca="false">F11*EXP((G11-100)/(28-14*$G$3))</f>
        <v>7.66883316613683</v>
      </c>
      <c r="I11" s="23" t="n">
        <f aca="false">EXP((G11-100)/(9-3*$G$3))</f>
        <v>0.0117436284570214</v>
      </c>
      <c r="J11" s="22" t="n">
        <f aca="false">0.5+(EXP(-G11/15)-EXP(-20/3))/6</f>
        <v>0.502840500847899</v>
      </c>
      <c r="K11" s="24" t="n">
        <f aca="false">$C$3/E11</f>
        <v>0.00333333333333333</v>
      </c>
      <c r="L11" s="15" t="n">
        <f aca="false">DEGREES(ASIN((6*J11*H11*(I11+H11*K11)^(J11-1))/(2*(1+J11)*(2+J11)+(6*J11*H11*(I11+H11*K11)^(J11-1)))))</f>
        <v>70.1170964643648</v>
      </c>
      <c r="M11" s="14" t="n">
        <f aca="false">1000*E11*((1+2*J11)*I11+(1-J11)*H11*K11)*(I11+H11*K11)^(J11-1)/((1+J11)*(2+J11)*SQRT(1+(6*J11*H11*(I11+H11*K11)^(J11-1))/((1+J11)*(2+J11))))</f>
        <v>1300.09094530792</v>
      </c>
      <c r="N11" s="25" t="n">
        <f aca="false">E11*(H11+4*I11-J11*(H11-8*I11))*(H11/4+I11)^(J11-1)/(2*(1+J11)*(2+J11))</f>
        <v>56.1942132538201</v>
      </c>
      <c r="O11" s="19" t="n">
        <v>27</v>
      </c>
    </row>
    <row r="12" customFormat="false" ht="30" hidden="false" customHeight="true" outlineLevel="0" collapsed="false">
      <c r="A12" s="17" t="s">
        <v>52</v>
      </c>
      <c r="B12" s="12" t="s">
        <v>45</v>
      </c>
      <c r="C12" s="13" t="s">
        <v>53</v>
      </c>
      <c r="D12" s="12" t="s">
        <v>63</v>
      </c>
      <c r="E12" s="19" t="n">
        <v>10</v>
      </c>
      <c r="F12" s="18" t="n">
        <v>6</v>
      </c>
      <c r="G12" s="19" t="n">
        <v>20</v>
      </c>
      <c r="H12" s="22" t="n">
        <f aca="false">F12*EXP((G12-100)/(28-14*$G$3))</f>
        <v>0.344595715605704</v>
      </c>
      <c r="I12" s="23" t="n">
        <f aca="false">EXP((G12-100)/(9-3*$G$3))</f>
        <v>0.000137912809336562</v>
      </c>
      <c r="J12" s="22" t="n">
        <f aca="false">0.5+(EXP(-G12/15)-EXP(-20/3))/6</f>
        <v>0.543720750719064</v>
      </c>
      <c r="K12" s="24" t="n">
        <f aca="false">$C$3/E12</f>
        <v>0.05</v>
      </c>
      <c r="L12" s="15" t="n">
        <f aca="false">DEGREES(ASIN((6*J12*H12*(I12+H12*K12)^(J12-1))/(2*(1+J12)*(2+J12)+(6*J12*H12*(I12+H12*K12)^(J12-1)))))</f>
        <v>28.449263789159</v>
      </c>
      <c r="M12" s="14" t="n">
        <f aca="false">1000*E12*((1+2*J12)*I12+(1-J12)*H12*K12)*(I12+H12*K12)^(J12-1)/((1+J12)*(2+J12)*SQRT(1+(6*J12*H12*(I12+H12*K12)^(J12-1))/((1+J12)*(2+J12))))</f>
        <v>78.5542261441238</v>
      </c>
      <c r="N12" s="25" t="n">
        <f aca="false">E12*(H12+4*I12-J12*(H12-8*I12))*(H12/4+I12)^(J12-1)/(2*(1+J12)*(2+J12))</f>
        <v>0.6168050790984</v>
      </c>
      <c r="O12" s="19" t="n">
        <v>25</v>
      </c>
    </row>
    <row r="13" customFormat="false" ht="30" hidden="false" customHeight="true" outlineLevel="0" collapsed="false">
      <c r="A13" s="17" t="s">
        <v>52</v>
      </c>
      <c r="B13" s="12" t="s">
        <v>45</v>
      </c>
      <c r="C13" s="13" t="s">
        <v>53</v>
      </c>
      <c r="D13" s="12" t="s">
        <v>64</v>
      </c>
      <c r="E13" s="19" t="n">
        <v>30</v>
      </c>
      <c r="F13" s="18" t="n">
        <v>12</v>
      </c>
      <c r="G13" s="19" t="n">
        <v>30</v>
      </c>
      <c r="H13" s="22" t="n">
        <f aca="false">F13*EXP((G13-100)/(28-14*$G$3))</f>
        <v>0.985019983486786</v>
      </c>
      <c r="I13" s="23" t="n">
        <f aca="false">EXP((G13-100)/(9-3*$G$3))</f>
        <v>0.000418942123448384</v>
      </c>
      <c r="J13" s="22" t="n">
        <f aca="false">0.5+(EXP(-G13/15)-EXP(-20/3))/6</f>
        <v>0.522343774905879</v>
      </c>
      <c r="K13" s="24" t="n">
        <f aca="false">$C$3/E13</f>
        <v>0.0166666666666667</v>
      </c>
      <c r="L13" s="15" t="n">
        <f aca="false">DEGREES(ASIN((6*J13*H13*(I13+H13*K13)^(J13-1))/(2*(1+J13)*(2+J13)+(6*J13*H13*(I13+H13*K13)^(J13-1)))))</f>
        <v>47.6255439533085</v>
      </c>
      <c r="M13" s="14" t="n">
        <f aca="false">1000*E13*((1+2*J13)*I13+(1-J13)*H13*K13)*(I13+H13*K13)^(J13-1)/((1+J13)*(2+J13)*SQRT(1+(6*J13*H13*(I13+H13*K13)^(J13-1))/((1+J13)*(2+J13))))</f>
        <v>185.306522248224</v>
      </c>
      <c r="N13" s="25" t="n">
        <f aca="false">E13*(H13+4*I13-J13*(H13-8*I13))*(H13/4+I13)^(J13-1)/(2*(1+J13)*(2+J13))</f>
        <v>3.61278505782518</v>
      </c>
      <c r="O13" s="19" t="n">
        <v>26</v>
      </c>
    </row>
    <row r="14" customFormat="false" ht="30" hidden="false" customHeight="true" outlineLevel="0" collapsed="false">
      <c r="A14" s="17" t="s">
        <v>52</v>
      </c>
      <c r="B14" s="12" t="s">
        <v>45</v>
      </c>
      <c r="C14" s="13" t="s">
        <v>53</v>
      </c>
      <c r="D14" s="12" t="s">
        <v>65</v>
      </c>
      <c r="E14" s="19" t="n">
        <v>60</v>
      </c>
      <c r="F14" s="18" t="n">
        <v>18</v>
      </c>
      <c r="G14" s="19" t="n">
        <v>40</v>
      </c>
      <c r="H14" s="22" t="n">
        <f aca="false">F14*EXP((G14-100)/(28-14*$G$3))</f>
        <v>2.11174498969651</v>
      </c>
      <c r="I14" s="23" t="n">
        <f aca="false">EXP((G14-100)/(9-3*$G$3))</f>
        <v>0.00127263380133981</v>
      </c>
      <c r="J14" s="22" t="n">
        <f aca="false">0.5+(EXP(-G14/15)-EXP(-20/3))/6</f>
        <v>0.511368469570244</v>
      </c>
      <c r="K14" s="24" t="n">
        <f aca="false">$C$3/E14</f>
        <v>0.00833333333333333</v>
      </c>
      <c r="L14" s="15" t="n">
        <f aca="false">DEGREES(ASIN((6*J14*H14*(I14+H14*K14)^(J14-1))/(2*(1+J14)*(2+J14)+(6*J14*H14*(I14+H14*K14)^(J14-1)))))</f>
        <v>58.8581516878687</v>
      </c>
      <c r="M14" s="14" t="n">
        <f aca="false">1000*E14*((1+2*J14)*I14+(1-J14)*H14*K14)*(I14+H14*K14)^(J14-1)/((1+J14)*(2+J14)*SQRT(1+(6*J14*H14*(I14+H14*K14)^(J14-1))/((1+J14)*(2+J14))))</f>
        <v>342.469163744162</v>
      </c>
      <c r="N14" s="25" t="n">
        <f aca="false">E14*(H14+4*I14-J14*(H14-8*I14))*(H14/4+I14)^(J14-1)/(2*(1+J14)*(2+J14))</f>
        <v>11.2413946454749</v>
      </c>
      <c r="O14" s="19" t="n">
        <v>27</v>
      </c>
    </row>
    <row r="15" customFormat="false" ht="30" hidden="false" customHeight="true" outlineLevel="0" collapsed="false">
      <c r="A15" s="17" t="s">
        <v>54</v>
      </c>
      <c r="B15" s="12" t="s">
        <v>45</v>
      </c>
      <c r="C15" s="13" t="s">
        <v>55</v>
      </c>
      <c r="D15" s="12" t="s">
        <v>63</v>
      </c>
      <c r="E15" s="19" t="n">
        <v>25</v>
      </c>
      <c r="F15" s="18" t="n">
        <v>15</v>
      </c>
      <c r="G15" s="19" t="n">
        <v>25</v>
      </c>
      <c r="H15" s="22" t="n">
        <f aca="false">F15*EXP((G15-100)/(28-14*$G$3))</f>
        <v>1.02991757269628</v>
      </c>
      <c r="I15" s="23" t="n">
        <f aca="false">EXP((G15-100)/(9-3*$G$3))</f>
        <v>0.000240369476419514</v>
      </c>
      <c r="J15" s="22" t="n">
        <f aca="false">0.5+(EXP(-G15/15)-EXP(-20/3))/6</f>
        <v>0.531267161506037</v>
      </c>
      <c r="K15" s="24" t="n">
        <f aca="false">$C$3/E15</f>
        <v>0.02</v>
      </c>
      <c r="L15" s="15" t="n">
        <f aca="false">DEGREES(ASIN((6*J15*H15*(I15+H15*K15)^(J15-1))/(2*(1+J15)*(2+J15)+(6*J15*H15*(I15+H15*K15)^(J15-1)))))</f>
        <v>46.2334637691587</v>
      </c>
      <c r="M15" s="14" t="n">
        <f aca="false">1000*E15*((1+2*J15)*I15+(1-J15)*H15*K15)*(I15+H15*K15)^(J15-1)/((1+J15)*(2+J15)*SQRT(1+(6*J15*H15*(I15+H15*K15)^(J15-1))/((1+J15)*(2+J15))))</f>
        <v>161.403286887846</v>
      </c>
      <c r="N15" s="25" t="n">
        <f aca="false">E15*(H15+4*I15-J15*(H15-8*I15))*(H15/4+I15)^(J15-1)/(2*(1+J15)*(2+J15))</f>
        <v>2.95150593900701</v>
      </c>
      <c r="O15" s="19" t="n">
        <v>25</v>
      </c>
    </row>
    <row r="16" customFormat="false" ht="30" hidden="false" customHeight="true" outlineLevel="0" collapsed="false">
      <c r="A16" s="17" t="s">
        <v>54</v>
      </c>
      <c r="B16" s="12" t="s">
        <v>45</v>
      </c>
      <c r="C16" s="13" t="s">
        <v>55</v>
      </c>
      <c r="D16" s="12" t="s">
        <v>64</v>
      </c>
      <c r="E16" s="19" t="n">
        <v>70</v>
      </c>
      <c r="F16" s="18" t="n">
        <v>20</v>
      </c>
      <c r="G16" s="19" t="n">
        <v>38</v>
      </c>
      <c r="H16" s="22" t="n">
        <f aca="false">F16*EXP((G16-100)/(28-14*$G$3))</f>
        <v>2.18463017792542</v>
      </c>
      <c r="I16" s="23" t="n">
        <f aca="false">EXP((G16-100)/(9-3*$G$3))</f>
        <v>0.00101904548494898</v>
      </c>
      <c r="J16" s="22" t="n">
        <f aca="false">0.5+(EXP(-G16/15)-EXP(-20/3))/6</f>
        <v>0.513020216412623</v>
      </c>
      <c r="K16" s="24" t="n">
        <f aca="false">$C$3/E16</f>
        <v>0.00714285714285714</v>
      </c>
      <c r="L16" s="15" t="n">
        <f aca="false">DEGREES(ASIN((6*J16*H16*(I16+H16*K16)^(J16-1))/(2*(1+J16)*(2+J16)+(6*J16*H16*(I16+H16*K16)^(J16-1)))))</f>
        <v>60.0781848142222</v>
      </c>
      <c r="M16" s="14" t="n">
        <f aca="false">1000*E16*((1+2*J16)*I16+(1-J16)*H16*K16)*(I16+H16*K16)^(J16-1)/((1+J16)*(2+J16)*SQRT(1+(6*J16*H16*(I16+H16*K16)^(J16-1))/((1+J16)*(2+J16))))</f>
        <v>349.573358289958</v>
      </c>
      <c r="N16" s="25" t="n">
        <f aca="false">E16*(H16+4*I16-J16*(H16-8*I16))*(H16/4+I16)^(J16-1)/(2*(1+J16)*(2+J16))</f>
        <v>13.237350891509</v>
      </c>
      <c r="O16" s="19" t="n">
        <v>26</v>
      </c>
    </row>
    <row r="17" customFormat="false" ht="30" hidden="false" customHeight="true" outlineLevel="0" collapsed="false">
      <c r="A17" s="17" t="s">
        <v>54</v>
      </c>
      <c r="B17" s="12" t="s">
        <v>45</v>
      </c>
      <c r="C17" s="13" t="s">
        <v>55</v>
      </c>
      <c r="D17" s="12" t="s">
        <v>65</v>
      </c>
      <c r="E17" s="19" t="n">
        <v>150</v>
      </c>
      <c r="F17" s="18" t="n">
        <v>25</v>
      </c>
      <c r="G17" s="19" t="n">
        <v>50</v>
      </c>
      <c r="H17" s="22" t="n">
        <f aca="false">F17*EXP((G17-100)/(28-14*$G$3))</f>
        <v>4.19193121879493</v>
      </c>
      <c r="I17" s="23" t="n">
        <f aca="false">EXP((G17-100)/(9-3*$G$3))</f>
        <v>0.00386592013947281</v>
      </c>
      <c r="J17" s="22" t="n">
        <f aca="false">0.5+(EXP(-G17/15)-EXP(-20/3))/6</f>
        <v>0.505733559924319</v>
      </c>
      <c r="K17" s="24" t="n">
        <f aca="false">$C$3/E17</f>
        <v>0.00333333333333333</v>
      </c>
      <c r="L17" s="15" t="n">
        <f aca="false">DEGREES(ASIN((6*J17*H17*(I17+H17*K17)^(J17-1))/(2*(1+J17)*(2+J17)+(6*J17*H17*(I17+H17*K17)^(J17-1)))))</f>
        <v>67.6679279529905</v>
      </c>
      <c r="M17" s="14" t="n">
        <f aca="false">1000*E17*((1+2*J17)*I17+(1-J17)*H17*K17)*(I17+H17*K17)^(J17-1)/((1+J17)*(2+J17)*SQRT(1+(6*J17*H17*(I17+H17*K17)^(J17-1))/((1+J17)*(2+J17))))</f>
        <v>842.992674373868</v>
      </c>
      <c r="N17" s="25" t="n">
        <f aca="false">E17*(H17+4*I17-J17*(H17-8*I17))*(H17/4+I17)^(J17-1)/(2*(1+J17)*(2+J17))</f>
        <v>40.7731342654354</v>
      </c>
      <c r="O17" s="19" t="n">
        <v>27</v>
      </c>
    </row>
    <row r="19" customFormat="false" ht="15" hidden="false" customHeight="false" outlineLevel="0" collapsed="false">
      <c r="A19" s="26" t="s">
        <v>106</v>
      </c>
    </row>
    <row r="20" customFormat="false" ht="18" hidden="false" customHeight="true" outlineLevel="0" collapsed="false">
      <c r="A20" s="17" t="s">
        <v>47</v>
      </c>
      <c r="B20" s="12" t="s">
        <v>107</v>
      </c>
      <c r="C20" s="13" t="s">
        <v>108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customFormat="false" ht="18" hidden="false" customHeight="true" outlineLevel="0" collapsed="false">
      <c r="A21" s="17" t="s">
        <v>47</v>
      </c>
      <c r="B21" s="12" t="s">
        <v>96</v>
      </c>
      <c r="C21" s="13" t="s">
        <v>109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customFormat="false" ht="18" hidden="false" customHeight="true" outlineLevel="0" collapsed="false">
      <c r="A22" s="17" t="s">
        <v>47</v>
      </c>
      <c r="B22" s="12" t="s">
        <v>97</v>
      </c>
      <c r="C22" s="13" t="s">
        <v>110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customFormat="false" ht="18" hidden="false" customHeight="true" outlineLevel="0" collapsed="false">
      <c r="A23" s="17" t="s">
        <v>50</v>
      </c>
      <c r="B23" s="12" t="s">
        <v>107</v>
      </c>
      <c r="C23" s="13" t="s">
        <v>111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customFormat="false" ht="18" hidden="false" customHeight="true" outlineLevel="0" collapsed="false">
      <c r="A24" s="17" t="s">
        <v>50</v>
      </c>
      <c r="B24" s="12" t="s">
        <v>96</v>
      </c>
      <c r="C24" s="13" t="s">
        <v>112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customFormat="false" ht="18" hidden="false" customHeight="true" outlineLevel="0" collapsed="false">
      <c r="A25" s="17" t="s">
        <v>50</v>
      </c>
      <c r="B25" s="12" t="s">
        <v>97</v>
      </c>
      <c r="C25" s="13" t="s">
        <v>113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customFormat="false" ht="18" hidden="false" customHeight="true" outlineLevel="0" collapsed="false">
      <c r="A26" s="17" t="s">
        <v>52</v>
      </c>
      <c r="B26" s="12" t="s">
        <v>107</v>
      </c>
      <c r="C26" s="13" t="s">
        <v>114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customFormat="false" ht="18" hidden="false" customHeight="true" outlineLevel="0" collapsed="false">
      <c r="A27" s="17" t="s">
        <v>52</v>
      </c>
      <c r="B27" s="12" t="s">
        <v>96</v>
      </c>
      <c r="C27" s="13" t="s">
        <v>115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8" customFormat="false" ht="18" hidden="false" customHeight="true" outlineLevel="0" collapsed="false">
      <c r="A28" s="17" t="s">
        <v>52</v>
      </c>
      <c r="B28" s="12" t="s">
        <v>97</v>
      </c>
      <c r="C28" s="13" t="s">
        <v>116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customFormat="false" ht="18" hidden="false" customHeight="true" outlineLevel="0" collapsed="false">
      <c r="A29" s="17" t="s">
        <v>54</v>
      </c>
      <c r="B29" s="12" t="s">
        <v>107</v>
      </c>
      <c r="C29" s="13" t="s">
        <v>117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</row>
    <row r="30" customFormat="false" ht="18" hidden="false" customHeight="true" outlineLevel="0" collapsed="false">
      <c r="A30" s="17" t="s">
        <v>54</v>
      </c>
      <c r="B30" s="12" t="s">
        <v>96</v>
      </c>
      <c r="C30" s="13" t="s">
        <v>118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customFormat="false" ht="18" hidden="false" customHeight="true" outlineLevel="0" collapsed="false">
      <c r="A31" s="17" t="s">
        <v>54</v>
      </c>
      <c r="B31" s="12" t="s">
        <v>97</v>
      </c>
      <c r="C31" s="13" t="s">
        <v>119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</row>
    <row r="33" customFormat="false" ht="15" hidden="false" customHeight="false" outlineLevel="0" collapsed="false">
      <c r="A33" s="16" t="s">
        <v>120</v>
      </c>
    </row>
    <row r="34" customFormat="false" ht="15" hidden="false" customHeight="false" outlineLevel="0" collapsed="false">
      <c r="A34" s="27" t="s">
        <v>121</v>
      </c>
    </row>
  </sheetData>
  <mergeCells count="12">
    <mergeCell ref="C20:O20"/>
    <mergeCell ref="C21:O21"/>
    <mergeCell ref="C22:O22"/>
    <mergeCell ref="C23:O23"/>
    <mergeCell ref="C24:O24"/>
    <mergeCell ref="C25:O25"/>
    <mergeCell ref="C26:O26"/>
    <mergeCell ref="C27:O27"/>
    <mergeCell ref="C28:O28"/>
    <mergeCell ref="C29:O29"/>
    <mergeCell ref="C30:O30"/>
    <mergeCell ref="C31:O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0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10" t="s">
        <v>122</v>
      </c>
    </row>
    <row r="3" customFormat="false" ht="15" hidden="false" customHeight="false" outlineLevel="0" collapsed="false">
      <c r="A3" s="11" t="s">
        <v>66</v>
      </c>
      <c r="B3" s="11" t="s">
        <v>123</v>
      </c>
    </row>
    <row r="4" customFormat="false" ht="15" hidden="false" customHeight="false" outlineLevel="0" collapsed="false">
      <c r="A4" s="17" t="s">
        <v>71</v>
      </c>
      <c r="B4" s="12" t="s">
        <v>124</v>
      </c>
    </row>
    <row r="5" customFormat="false" ht="15" hidden="false" customHeight="false" outlineLevel="0" collapsed="false">
      <c r="A5" s="17" t="s">
        <v>125</v>
      </c>
      <c r="B5" s="12" t="s">
        <v>126</v>
      </c>
    </row>
    <row r="6" customFormat="false" ht="15" hidden="false" customHeight="false" outlineLevel="0" collapsed="false">
      <c r="A6" s="17" t="s">
        <v>79</v>
      </c>
      <c r="B6" s="12" t="s">
        <v>127</v>
      </c>
    </row>
    <row r="9" customFormat="false" ht="16.15" hidden="false" customHeight="false" outlineLevel="0" collapsed="false">
      <c r="A9" s="10" t="s">
        <v>128</v>
      </c>
    </row>
    <row r="10" customFormat="false" ht="15" hidden="false" customHeight="false" outlineLevel="0" collapsed="false">
      <c r="A10" s="11" t="s">
        <v>129</v>
      </c>
      <c r="B10" s="11" t="s">
        <v>130</v>
      </c>
      <c r="C10" s="11" t="s">
        <v>131</v>
      </c>
    </row>
    <row r="11" customFormat="false" ht="31.5" hidden="false" customHeight="true" outlineLevel="0" collapsed="false">
      <c r="A11" s="17" t="s">
        <v>72</v>
      </c>
      <c r="B11" s="13" t="s">
        <v>132</v>
      </c>
      <c r="C11" s="13" t="s">
        <v>133</v>
      </c>
    </row>
    <row r="12" customFormat="false" ht="31.5" hidden="false" customHeight="true" outlineLevel="0" collapsed="false">
      <c r="A12" s="17" t="s">
        <v>83</v>
      </c>
      <c r="B12" s="13" t="s">
        <v>134</v>
      </c>
      <c r="C12" s="13" t="s">
        <v>135</v>
      </c>
    </row>
    <row r="13" customFormat="false" ht="31.5" hidden="false" customHeight="true" outlineLevel="0" collapsed="false">
      <c r="A13" s="17" t="s">
        <v>136</v>
      </c>
      <c r="B13" s="13" t="s">
        <v>137</v>
      </c>
      <c r="C13" s="13" t="s">
        <v>138</v>
      </c>
    </row>
    <row r="14" customFormat="false" ht="31.5" hidden="false" customHeight="true" outlineLevel="0" collapsed="false">
      <c r="A14" s="17" t="s">
        <v>139</v>
      </c>
      <c r="B14" s="13" t="s">
        <v>140</v>
      </c>
      <c r="C14" s="13" t="s">
        <v>138</v>
      </c>
    </row>
    <row r="15" customFormat="false" ht="31.5" hidden="false" customHeight="true" outlineLevel="0" collapsed="false">
      <c r="A15" s="17" t="s">
        <v>141</v>
      </c>
      <c r="B15" s="13" t="s">
        <v>142</v>
      </c>
      <c r="C15" s="13" t="s">
        <v>143</v>
      </c>
    </row>
    <row r="16" customFormat="false" ht="31.5" hidden="false" customHeight="true" outlineLevel="0" collapsed="false">
      <c r="A16" s="17" t="s">
        <v>144</v>
      </c>
      <c r="B16" s="13" t="s">
        <v>145</v>
      </c>
      <c r="C16" s="13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2026-09-29T00:43:46Z</dcterms:created>
  <dc:creator>openpyxl</dc:creator>
  <dc:description/>
  <dc:language>en-US</dc:language>
  <cp:lastModifiedBy/>
  <dcterms:modified xsi:type="dcterms:W3CDTF">2026-09-29T00:43:47Z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