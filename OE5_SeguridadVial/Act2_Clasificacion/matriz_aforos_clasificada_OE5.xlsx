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etodo" sheetId="1" state="visible" r:id="rId3"/>
    <sheet name="2. Serie INVIAS estacion" sheetId="2" state="visible" r:id="rId4"/>
    <sheet name="3. Peaje Cajamarca 2019" sheetId="3" state="visible" r:id="rId5"/>
    <sheet name="4. Peaje Cocora 21-26" sheetId="4" state="visible" r:id="rId6"/>
    <sheet name="5. Matriz consolidada" sheetId="5" state="visible" r:id="rId7"/>
    <sheet name="6. Depuracion pesad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<sst xmlns="http://schemas.openxmlformats.org/spreadsheetml/2006/main" count="466" uniqueCount="210">
  <si>
    <t xml:space="preserve">Matriz de aforos clasificada - OE 5, Actividad 2</t>
  </si>
  <si>
    <t xml:space="preserve">Clasificacion vehicular del TPDA y depuracion del flujo de carga pesada | Semillero GEOPAV | Corredor Ibague - Calarca, Ruta Nacional 40</t>
  </si>
  <si>
    <t xml:space="preserve">MARCAS DE ORIGEN</t>
  </si>
  <si>
    <t xml:space="preserve">F</t>
  </si>
  <si>
    <t xml:space="preserve">Dato tomado de una fuente externa, citada.</t>
  </si>
  <si>
    <t xml:space="preserve">CP</t>
  </si>
  <si>
    <t xml:space="preserve">Calculo propio del semillero, reproducible por la formula de la celda.</t>
  </si>
  <si>
    <t xml:space="preserve">H</t>
  </si>
  <si>
    <t xml:space="preserve">Hipotesis adoptada. Celda con fondo amarillo y texto azul.</t>
  </si>
  <si>
    <t xml:space="preserve">FUENTES</t>
  </si>
  <si>
    <t xml:space="preserve">Serie historica TPD 1997-2018</t>
  </si>
  <si>
    <t xml:space="preserve">INVIAS, idFile=30450. Extraida por Scripts/extraccion_TPD_INVIAS.py  [F]</t>
  </si>
  <si>
    <t xml:space="preserve">Serie historica TPD 2019</t>
  </si>
  <si>
    <t xml:space="preserve">INVIAS, idFile=1678. Peaje Cajamarca, PR 24+020  [F]</t>
  </si>
  <si>
    <t xml:space="preserve">Trafico Vehicular ANI</t>
  </si>
  <si>
    <t xml:space="preserve">datos.gov.co 8yi9-t44c. Peaje Cocora, K 13+750  [F]</t>
  </si>
  <si>
    <t xml:space="preserve">HOMOLOGACION DE CLASES  [H]</t>
  </si>
  <si>
    <t xml:space="preserve">Livianos</t>
  </si>
  <si>
    <t xml:space="preserve">Peajes: categoria I. Serie por estacion: 'autos'.</t>
  </si>
  <si>
    <t xml:space="preserve">Intermedios</t>
  </si>
  <si>
    <t xml:space="preserve">Peajes: categoria II (buses y camion de 2 ejes). Serie por estacion: 'buses'.</t>
  </si>
  <si>
    <t xml:space="preserve">Carga pesada</t>
  </si>
  <si>
    <t xml:space="preserve">Peajes: categorias III a VII (3 o mas ejes). Serie por estacion: 'camiones'.</t>
  </si>
  <si>
    <t xml:space="preserve">LIMITACION DE LA HOMOLOGACION</t>
  </si>
  <si>
    <t xml:space="preserve">La serie por estacion publica solo tres porcentajes (autos-buses-camiones) y su clase</t>
  </si>
  <si>
    <t xml:space="preserve">'camiones' INCLUYE los de dos ejes, que en el peaje caen en categoria II. Por eso la</t>
  </si>
  <si>
    <t xml:space="preserve">participacion de carga pesada de la serie por estacion es sistematicamente MAYOR que la</t>
  </si>
  <si>
    <t xml:space="preserve">del peaje. Las dos lecturas se publican por separado y no se promedian.</t>
  </si>
  <si>
    <t xml:space="preserve">ADVERTENCIA - TRES PUNTOS DE MEDICION DISTINTOS  [F]</t>
  </si>
  <si>
    <t xml:space="preserve">Estacion 244 INVIAS</t>
  </si>
  <si>
    <t xml:space="preserve">Aforo de tramo Calarca - Cajamarca, 45 km. Es el paso de La Linea.</t>
  </si>
  <si>
    <t xml:space="preserve">Peaje Cajamarca</t>
  </si>
  <si>
    <t xml:space="preserve">PR 24+020 carretera Armenia - Ibague. Administra INVIAS.</t>
  </si>
  <si>
    <t xml:space="preserve">Peaje Cocora</t>
  </si>
  <si>
    <t xml:space="preserve">K 13+750 Segunda Calzada Ibague - Cajamarca. Administra la concesion APP GICA (ANI).</t>
  </si>
  <si>
    <t xml:space="preserve">Cocora y Cajamarca estan separados unos 10 km. Cocora, mas abajo, capta trafico local que</t>
  </si>
  <si>
    <t xml:space="preserve">no sube al paso. Las series NO se empalman en una sola linea de tiempo: cada punto de</t>
  </si>
  <si>
    <t xml:space="preserve">medicion se reporta por separado y la comparacion entre ellos se declara como tal.</t>
  </si>
  <si>
    <t xml:space="preserve">HITO QUE PARTE LA SERIE  [F]</t>
  </si>
  <si>
    <t xml:space="preserve">El Tunel de La Linea entro en operacion el 4 de septiembre de 2020, con 8,6 km. Todo lo</t>
  </si>
  <si>
    <t xml:space="preserve">anterior a esa fecha describe un corredor distinto del actual.</t>
  </si>
  <si>
    <t xml:space="preserve">Serie historica de TPD por estacion de aforo - INVIAS 1997-2018</t>
  </si>
  <si>
    <t xml:space="preserve">Columnas A-L: dato de la fuente [F]. Columnas M-P: clasificacion [CP], calculadas por formula.</t>
  </si>
  <si>
    <t xml:space="preserve">Estacion</t>
  </si>
  <si>
    <t xml:space="preserve">Depto</t>
  </si>
  <si>
    <t xml:space="preserve">Sector</t>
  </si>
  <si>
    <t xml:space="preserve">Codigo via</t>
  </si>
  <si>
    <t xml:space="preserve">L (km)</t>
  </si>
  <si>
    <t xml:space="preserve">En corredor</t>
  </si>
  <si>
    <t xml:space="preserve">Anio</t>
  </si>
  <si>
    <t xml:space="preserve">TPD total</t>
  </si>
  <si>
    <t xml:space="preserve">% autos</t>
  </si>
  <si>
    <t xml:space="preserve">% buses</t>
  </si>
  <si>
    <t xml:space="preserve">% camiones</t>
  </si>
  <si>
    <t xml:space="preserve">TPD livianos</t>
  </si>
  <si>
    <t xml:space="preserve">TPD intermedios</t>
  </si>
  <si>
    <t xml:space="preserve">TPD carga pesada</t>
  </si>
  <si>
    <t xml:space="preserve">Participacion pesada</t>
  </si>
  <si>
    <t xml:space="preserve">TOLIMA</t>
  </si>
  <si>
    <t xml:space="preserve">CAJAMARCA-IBAGUE</t>
  </si>
  <si>
    <t xml:space="preserve">Si</t>
  </si>
  <si>
    <t xml:space="preserve">QUINDIO</t>
  </si>
  <si>
    <t xml:space="preserve">CALARCA - CAJAMARCA</t>
  </si>
  <si>
    <t xml:space="preserve">4003</t>
  </si>
  <si>
    <t xml:space="preserve">ARMENIA - CALARCA</t>
  </si>
  <si>
    <t xml:space="preserve">No</t>
  </si>
  <si>
    <t xml:space="preserve">La clase 'camiones' de esta fuente incluye los de dos ejes: su participacion no es comparable con la categoria III+ de los peajes.</t>
  </si>
  <si>
    <t xml:space="preserve">Aforo mensual por categoria tarifaria - Peaje Cajamarca (INVIAS), 2019</t>
  </si>
  <si>
    <t xml:space="preserve">Columnas A-F: dato de la fuente [F]. Columnas G-J: clasificacion [CP].</t>
  </si>
  <si>
    <t xml:space="preserve">Mes</t>
  </si>
  <si>
    <t xml:space="preserve">Dias</t>
  </si>
  <si>
    <t xml:space="preserve">Total</t>
  </si>
  <si>
    <t xml:space="preserve">Cat I livianos</t>
  </si>
  <si>
    <t xml:space="preserve">Cat II intermedios</t>
  </si>
  <si>
    <t xml:space="preserve">Cat III+ carga pesada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</si>
  <si>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</si>
  <si>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</si>
  <si>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</si>
  <si>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</si>
  <si>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</si>
  <si>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</si>
  <si>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</si>
  <si>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</si>
  <si>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</si>
  <si>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</si>
  <si>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</si>
  <si>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</si>
  <si>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AÑO 2019</t>
  </si>
  <si>
    <t xml:space="preserve">Aforo mensual por categoria - Peaje Cocora (concesion APP GICA / ANI), oct 2021 - may 2026</t>
  </si>
  <si>
    <t xml:space="preserve">Columnas A-G: dato de la fuente [F]. Columnas H-K: clasificacion [CP].</t>
  </si>
  <si>
    <t xml:space="preserve">Buses (Cat II)</t>
  </si>
  <si>
    <t xml:space="preserve">Carga pesada (Cat III+)</t>
  </si>
  <si>
    <t xml:space="preserve">Otros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</si>
  <si>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</si>
  <si>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</si>
  <si>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</si>
  <si>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</si>
  <si>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</si>
  <si>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</si>
  <si>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</si>
  <si>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</si>
  <si>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</si>
  <si>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</si>
  <si>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</si>
  <si>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</si>
  <si>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</si>
  <si>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</si>
  <si>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</si>
  <si>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</si>
  <si>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</si>
  <si>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</si>
  <si>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</si>
  <si>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</si>
  <si>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</si>
  <si>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</si>
  <si>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</si>
  <si>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</si>
  <si>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</si>
  <si>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</si>
  <si>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</si>
  <si>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</si>
  <si>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</si>
  <si>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</si>
  <si>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</si>
  <si>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</si>
  <si>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</si>
  <si>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</si>
  <si>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</si>
  <si>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</si>
  <si>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</si>
  <si>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</si>
  <si>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</si>
  <si>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</si>
  <si>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</si>
  <si>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</si>
  <si>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</si>
  <si>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</si>
  <si>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</si>
  <si>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</si>
  <si>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</si>
  <si>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</si>
  <si>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</si>
  <si>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</si>
  <si>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</si>
  <si>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</si>
  <si>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</si>
  <si>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</si>
  <si>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</si>
  <si>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</si>
  <si>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ULT. 12 MESES</t>
  </si>
  <si>
    <t xml:space="preserve">La columna 'Otros' solo tiene valor en oct-dic 2021 y se suma al total sin clasificar: la fuente no dice que categoria es.</t>
  </si>
  <si>
    <t xml:space="preserve">Matriz de aforos clasificada - TPD por clase y punto de medicion</t>
  </si>
  <si>
    <t xml:space="preserve">Toda celda de esta hoja es una referencia [CP] a las hojas 2, 3 y 4. No hay ningun numero escrito a mano.</t>
  </si>
  <si>
    <t xml:space="preserve">Punto de medicion</t>
  </si>
  <si>
    <t xml:space="preserve">Administra</t>
  </si>
  <si>
    <t xml:space="preserve">Ubicacion</t>
  </si>
  <si>
    <t xml:space="preserve">Periodo</t>
  </si>
  <si>
    <t xml:space="preserve">Base de la clasificacion</t>
  </si>
  <si>
    <t xml:space="preserve">INVIAS</t>
  </si>
  <si>
    <t xml:space="preserve">Tramo Calarca - Cajamarca (45 km) - el paso</t>
  </si>
  <si>
    <t xml:space="preserve">Media 2015-2018</t>
  </si>
  <si>
    <t xml:space="preserve">Composicion % de la fuente; 'camiones' incluye 2 ejes</t>
  </si>
  <si>
    <t xml:space="preserve">Estacion 243 INVIAS</t>
  </si>
  <si>
    <t xml:space="preserve">Tramo Cajamarca - Ibague (29 km)</t>
  </si>
  <si>
    <t xml:space="preserve">Media 2015-2017</t>
  </si>
  <si>
    <t xml:space="preserve">PR 24+020 Armenia - Ibague</t>
  </si>
  <si>
    <t xml:space="preserve">Anio 2019</t>
  </si>
  <si>
    <t xml:space="preserve">Categoria tarifaria III+ = 3 o mas ejes</t>
  </si>
  <si>
    <t xml:space="preserve">APP GICA (ANI)</t>
  </si>
  <si>
    <t xml:space="preserve">K 13+750 Segunda Calzada Ibague - Cajamarca</t>
  </si>
  <si>
    <t xml:space="preserve">Jun 2025 - may 2026</t>
  </si>
  <si>
    <t xml:space="preserve">COMO SE LEE ESTA MATRIZ</t>
  </si>
  <si>
    <t xml:space="preserve">Las filas 5 y 6 miden un TRAMO completo y clasifican por composicion porcentual; las filas 7 y 8 miden un</t>
  </si>
  <si>
    <t xml:space="preserve">PUNTO y clasifican por categoria tarifaria. Por eso la participacion de carga pesada de las dos primeras es</t>
  </si>
  <si>
    <t xml:space="preserve">mayor: su clase 'camiones' incluye los de dos ejes, que en el peaje son categoria II.</t>
  </si>
  <si>
    <t xml:space="preserve">Las cuatro filas NO forman una serie temporal. Son cuatro mediciones distintas del mismo corredor, en puntos</t>
  </si>
  <si>
    <t xml:space="preserve">y con criterios distintos. Cualquier comparacion entre filas debe declarar esa diferencia.</t>
  </si>
  <si>
    <t xml:space="preserve">Depuracion del flujo de carga pesada</t>
  </si>
  <si>
    <t xml:space="preserve">Aisla el flujo de carga pesada del corredor y estima la porcion captable por la Ferropista. Celdas amarillas = hipotesis editables.</t>
  </si>
  <si>
    <t xml:space="preserve">ENTRADAS</t>
  </si>
  <si>
    <t xml:space="preserve">Punto de medicion adoptado como proxy del paso</t>
  </si>
  <si>
    <t xml:space="preserve">Peaje Cajamarca (PR 24+020). Esta mas arriba que Cocora y capta mejor lo que sube al paso.</t>
  </si>
  <si>
    <t xml:space="preserve">TPD de carga pesada, peaje Cajamarca 2019</t>
  </si>
  <si>
    <t xml:space="preserve">Categoria III+ del aforo de INVIAS.</t>
  </si>
  <si>
    <t xml:space="preserve">TPD de carga pesada, peaje Cocora jun25-may26</t>
  </si>
  <si>
    <t xml:space="preserve">Categoria III+ del aforo de la ANI.</t>
  </si>
  <si>
    <t xml:space="preserve">TPD de carga pesada, estacion 244 media 2015-2018</t>
  </si>
  <si>
    <t xml:space="preserve">Incluye camiones de dos ejes: cota superior.</t>
  </si>
  <si>
    <t xml:space="preserve">Captacion prevista de vehiculos grandes</t>
  </si>
  <si>
    <t xml:space="preserve">Ponencia ARCS/UC Consult, dia. 10. Es cifra del proponente, no auditada.</t>
  </si>
  <si>
    <t xml:space="preserve">Longitud del corredor entre portales (km)</t>
  </si>
  <si>
    <t xml:space="preserve">INVIAS: 29 km estacion 243 + 45 km estacion 244.</t>
  </si>
  <si>
    <t xml:space="preserve">RESULTADOS  [CP]</t>
  </si>
  <si>
    <t xml:space="preserve">Vehiculos-km diarios de carga pesada en el corredor</t>
  </si>
  <si>
    <t xml:space="preserve">TPD pesada x longitud del corredor.</t>
  </si>
  <si>
    <t xml:space="preserve">Vehiculos-km anuales de carga pesada</t>
  </si>
  <si>
    <t xml:space="preserve">Exposicion anual del grupo que la Ferropista captaria.</t>
  </si>
  <si>
    <t xml:space="preserve">Vehiculos-km anuales evitados con la captacion prevista</t>
  </si>
  <si>
    <t xml:space="preserve">Aplicando la captacion de la ponencia. Es una estimacion condicionada, no un pronostico.</t>
  </si>
  <si>
    <t xml:space="preserve">Diferencia entre puntos de medicion (Cajamarca 2019 - Cocora hoy)</t>
  </si>
  <si>
    <t xml:space="preserve">Cuanta carga pesada mide de mas el punto alto. NO es una caida temporal: son dos peajes.</t>
  </si>
  <si>
    <t xml:space="preserve">Cota superior segun la estacion 244</t>
  </si>
  <si>
    <t xml:space="preserve">Incluye camiones de 2 ejes. Sirve de techo, no de valor central.</t>
  </si>
  <si>
    <t xml:space="preserve">QUE PUEDE AFIRMARSE CON ESTA MATRIZ</t>
  </si>
  <si>
    <t xml:space="preserve">El volumen de carga pesada del corredor esta MEDIDO en peaje, no supuesto, en dos puntos y dos periodos.</t>
  </si>
  <si>
    <t xml:space="preserve">La exposicion anual en vehiculos-kilometro de ese grupo es calculable y reproducible.</t>
  </si>
  <si>
    <t xml:space="preserve">QUE NO PUEDE AFIRMARSE</t>
  </si>
  <si>
    <t xml:space="preserve">Que la carga pesada haya caido entre 2019 y hoy: los dos numeros vienen de peajes distintos, separados 10 km,</t>
  </si>
  <si>
    <t xml:space="preserve">y el de abajo capta trafico local. Homologar los puntos de medicion es requisito antes de cualquier serie unica.</t>
  </si>
  <si>
    <t xml:space="preserve">Cuantos vehiculos dejarian de subir: la captacion del 90 % es cifra del proponente y entra como hipotesis.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</si>
</sst>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%"/>
    <numFmt numFmtId="16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93F77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475569"/>
      <name val="Arial"/>
      <family val="0"/>
      <charset val="1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1F5F9"/>
        <bgColor rgb="FFFFFFFF"/>
      </patternFill>
    </fill>
    <fill>
      <patternFill patternType="solid">
        <fgColor rgb="FF193F77"/>
        <bgColor rgb="FF3333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9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93F7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3"/>
    </row>
    <row r="5" customFormat="false" ht="15" hidden="false" customHeight="false" outlineLevel="0" collapsed="false">
      <c r="A5" s="4" t="s">
        <v>2</v>
      </c>
      <c r="B5" s="3"/>
    </row>
    <row r="6" customFormat="false" ht="15" hidden="false" customHeight="false" outlineLevel="0" collapsed="false">
      <c r="A6" s="3" t="s">
        <v>3</v>
      </c>
      <c r="B6" s="3" t="s">
        <v>4</v>
      </c>
    </row>
    <row r="7" customFormat="false" ht="15" hidden="false" customHeight="false" outlineLevel="0" collapsed="false">
      <c r="A7" s="3" t="s">
        <v>5</v>
      </c>
      <c r="B7" s="3" t="s">
        <v>6</v>
      </c>
    </row>
    <row r="8" customFormat="false" ht="15" hidden="false" customHeight="false" outlineLevel="0" collapsed="false">
      <c r="A8" s="3" t="s">
        <v>7</v>
      </c>
      <c r="B8" s="3" t="s">
        <v>8</v>
      </c>
    </row>
    <row r="9" customFormat="false" ht="15" hidden="false" customHeight="false" outlineLevel="0" collapsed="false">
      <c r="A9" s="3"/>
      <c r="B9" s="3"/>
    </row>
    <row r="10" customFormat="false" ht="15" hidden="false" customHeight="false" outlineLevel="0" collapsed="false">
      <c r="A10" s="4" t="s">
        <v>9</v>
      </c>
      <c r="B10" s="3"/>
    </row>
    <row r="11" customFormat="false" ht="15" hidden="false" customHeight="false" outlineLevel="0" collapsed="false">
      <c r="A11" s="3" t="s">
        <v>10</v>
      </c>
      <c r="B11" s="3" t="s">
        <v>11</v>
      </c>
    </row>
    <row r="12" customFormat="false" ht="15" hidden="false" customHeight="false" outlineLevel="0" collapsed="false">
      <c r="A12" s="3" t="s">
        <v>12</v>
      </c>
      <c r="B12" s="3" t="s">
        <v>13</v>
      </c>
    </row>
    <row r="13" customFormat="false" ht="15" hidden="false" customHeight="false" outlineLevel="0" collapsed="false">
      <c r="A13" s="3" t="s">
        <v>14</v>
      </c>
      <c r="B13" s="3" t="s">
        <v>15</v>
      </c>
    </row>
    <row r="14" customFormat="false" ht="15" hidden="false" customHeight="false" outlineLevel="0" collapsed="false">
      <c r="A14" s="3"/>
      <c r="B14" s="3"/>
    </row>
    <row r="15" customFormat="false" ht="15" hidden="false" customHeight="false" outlineLevel="0" collapsed="false">
      <c r="A15" s="4" t="s">
        <v>16</v>
      </c>
      <c r="B15" s="3"/>
    </row>
    <row r="16" customFormat="false" ht="15" hidden="false" customHeight="false" outlineLevel="0" collapsed="false">
      <c r="A16" s="3" t="s">
        <v>17</v>
      </c>
      <c r="B16" s="3" t="s">
        <v>18</v>
      </c>
    </row>
    <row r="17" customFormat="false" ht="15" hidden="false" customHeight="false" outlineLevel="0" collapsed="false">
      <c r="A17" s="3" t="s">
        <v>19</v>
      </c>
      <c r="B17" s="3" t="s">
        <v>20</v>
      </c>
    </row>
    <row r="18" customFormat="false" ht="15" hidden="false" customHeight="false" outlineLevel="0" collapsed="false">
      <c r="A18" s="3" t="s">
        <v>21</v>
      </c>
      <c r="B18" s="3" t="s">
        <v>22</v>
      </c>
    </row>
    <row r="19" customFormat="false" ht="15" hidden="false" customHeight="false" outlineLevel="0" collapsed="false">
      <c r="A19" s="3"/>
      <c r="B19" s="3"/>
    </row>
    <row r="20" customFormat="false" ht="15" hidden="false" customHeight="false" outlineLevel="0" collapsed="false">
      <c r="A20" s="4" t="s">
        <v>23</v>
      </c>
      <c r="B20" s="3"/>
    </row>
    <row r="21" customFormat="false" ht="15" hidden="false" customHeight="false" outlineLevel="0" collapsed="false">
      <c r="A21" s="3"/>
      <c r="B21" s="3" t="s">
        <v>24</v>
      </c>
    </row>
    <row r="22" customFormat="false" ht="15" hidden="false" customHeight="false" outlineLevel="0" collapsed="false">
      <c r="A22" s="3"/>
      <c r="B22" s="3" t="s">
        <v>25</v>
      </c>
    </row>
    <row r="23" customFormat="false" ht="15" hidden="false" customHeight="false" outlineLevel="0" collapsed="false">
      <c r="A23" s="3"/>
      <c r="B23" s="3" t="s">
        <v>26</v>
      </c>
    </row>
    <row r="24" customFormat="false" ht="15" hidden="false" customHeight="false" outlineLevel="0" collapsed="false">
      <c r="A24" s="3"/>
      <c r="B24" s="3" t="s">
        <v>27</v>
      </c>
    </row>
    <row r="25" customFormat="false" ht="15" hidden="false" customHeight="false" outlineLevel="0" collapsed="false">
      <c r="A25" s="3"/>
      <c r="B25" s="3"/>
    </row>
    <row r="26" customFormat="false" ht="15" hidden="false" customHeight="false" outlineLevel="0" collapsed="false">
      <c r="A26" s="4" t="s">
        <v>28</v>
      </c>
      <c r="B26" s="3"/>
    </row>
    <row r="27" customFormat="false" ht="15" hidden="false" customHeight="false" outlineLevel="0" collapsed="false">
      <c r="A27" s="3" t="s">
        <v>29</v>
      </c>
      <c r="B27" s="3" t="s">
        <v>30</v>
      </c>
    </row>
    <row r="28" customFormat="false" ht="15" hidden="false" customHeight="false" outlineLevel="0" collapsed="false">
      <c r="A28" s="3" t="s">
        <v>31</v>
      </c>
      <c r="B28" s="3" t="s">
        <v>32</v>
      </c>
    </row>
    <row r="29" customFormat="false" ht="15" hidden="false" customHeight="false" outlineLevel="0" collapsed="false">
      <c r="A29" s="3" t="s">
        <v>33</v>
      </c>
      <c r="B29" s="3" t="s">
        <v>34</v>
      </c>
    </row>
    <row r="30" customFormat="false" ht="15" hidden="false" customHeight="false" outlineLevel="0" collapsed="false">
      <c r="A30" s="3"/>
      <c r="B30" s="3" t="s">
        <v>35</v>
      </c>
    </row>
    <row r="31" customFormat="false" ht="15" hidden="false" customHeight="false" outlineLevel="0" collapsed="false">
      <c r="A31" s="3"/>
      <c r="B31" s="3" t="s">
        <v>36</v>
      </c>
    </row>
    <row r="32" customFormat="false" ht="15" hidden="false" customHeight="false" outlineLevel="0" collapsed="false">
      <c r="A32" s="3"/>
      <c r="B32" s="3" t="s">
        <v>37</v>
      </c>
    </row>
    <row r="33" customFormat="false" ht="15" hidden="false" customHeight="false" outlineLevel="0" collapsed="false">
      <c r="A33" s="3"/>
      <c r="B33" s="3"/>
    </row>
    <row r="34" customFormat="false" ht="15" hidden="false" customHeight="false" outlineLevel="0" collapsed="false">
      <c r="A34" s="4" t="s">
        <v>38</v>
      </c>
      <c r="B34" s="3"/>
    </row>
    <row r="35" customFormat="false" ht="15" hidden="false" customHeight="false" outlineLevel="0" collapsed="false">
      <c r="A35" s="3"/>
      <c r="B35" s="3" t="s">
        <v>39</v>
      </c>
    </row>
    <row r="36" customFormat="false" ht="15" hidden="false" customHeight="false" outlineLevel="0" collapsed="false">
      <c r="A36" s="3"/>
      <c r="B36" s="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16"/>
    <col collapsed="false" customWidth="true" hidden="false" outlineLevel="0" max="15" min="15" style="0" width="18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30" hidden="false" customHeight="true" outlineLevel="0" collapsed="false">
      <c r="A4" s="5" t="s">
        <v>43</v>
      </c>
      <c r="B4" s="5" t="s">
        <v>44</v>
      </c>
      <c r="C4" s="5" t="s">
        <v>45</v>
      </c>
      <c r="D4" s="5" t="s">
        <v>46</v>
      </c>
      <c r="E4" s="5" t="s">
        <v>47</v>
      </c>
      <c r="F4" s="5" t="s">
        <v>48</v>
      </c>
      <c r="G4" s="5" t="s">
        <v>49</v>
      </c>
      <c r="H4" s="5" t="s">
        <v>50</v>
      </c>
      <c r="I4" s="5" t="s">
        <v>51</v>
      </c>
      <c r="J4" s="5" t="s">
        <v>52</v>
      </c>
      <c r="K4" s="5" t="s">
        <v>53</v>
      </c>
      <c r="L4" s="5" t="s">
        <v>54</v>
      </c>
      <c r="M4" s="5" t="s">
        <v>55</v>
      </c>
      <c r="N4" s="5" t="s">
        <v>56</v>
      </c>
      <c r="O4" s="5" t="s">
        <v>57</v>
      </c>
    </row>
    <row r="5" customFormat="false" ht="15" hidden="false" customHeight="false" outlineLevel="0" collapsed="false">
      <c r="A5" s="6" t="n">
        <v>243</v>
      </c>
      <c r="B5" s="6" t="s">
        <v>58</v>
      </c>
      <c r="C5" s="6" t="s">
        <v>59</v>
      </c>
      <c r="D5" s="6"/>
      <c r="E5" s="6" t="n">
        <v>29</v>
      </c>
      <c r="F5" s="6" t="s">
        <v>60</v>
      </c>
      <c r="G5" s="6" t="n">
        <v>1997</v>
      </c>
      <c r="H5" s="6" t="n">
        <v>3803</v>
      </c>
      <c r="I5" s="6" t="n">
        <v>42</v>
      </c>
      <c r="J5" s="6" t="n">
        <v>6</v>
      </c>
      <c r="K5" s="6" t="n">
        <v>52</v>
      </c>
      <c r="L5" s="6" t="n">
        <f aca="false">IF(I5="","",ROUND($H5*I5/100,0))</f>
        <v>1597</v>
      </c>
      <c r="M5" s="6" t="n">
        <f aca="false">IF(J5="","",ROUND($H5*J5/100,0))</f>
        <v>228</v>
      </c>
      <c r="N5" s="6" t="n">
        <f aca="false">IF(K5="","",ROUND($H5*K5/100,0))</f>
        <v>1978</v>
      </c>
      <c r="O5" s="7" t="n">
        <f aca="false">IF(K5="","",K5/100)</f>
        <v>0.52</v>
      </c>
    </row>
    <row r="6" customFormat="false" ht="15" hidden="false" customHeight="false" outlineLevel="0" collapsed="false">
      <c r="A6" s="6" t="n">
        <v>243</v>
      </c>
      <c r="B6" s="6" t="s">
        <v>58</v>
      </c>
      <c r="C6" s="6" t="s">
        <v>59</v>
      </c>
      <c r="D6" s="6"/>
      <c r="E6" s="6" t="n">
        <v>29</v>
      </c>
      <c r="F6" s="6" t="s">
        <v>60</v>
      </c>
      <c r="G6" s="6" t="n">
        <v>1998</v>
      </c>
      <c r="H6" s="6" t="n">
        <v>3877</v>
      </c>
      <c r="I6" s="6" t="n">
        <v>42</v>
      </c>
      <c r="J6" s="6" t="n">
        <v>7</v>
      </c>
      <c r="K6" s="6" t="n">
        <v>51</v>
      </c>
      <c r="L6" s="6" t="n">
        <f aca="false">IF(I6="","",ROUND($H6*I6/100,0))</f>
        <v>1628</v>
      </c>
      <c r="M6" s="6" t="n">
        <f aca="false">IF(J6="","",ROUND($H6*J6/100,0))</f>
        <v>271</v>
      </c>
      <c r="N6" s="6" t="n">
        <f aca="false">IF(K6="","",ROUND($H6*K6/100,0))</f>
        <v>1977</v>
      </c>
      <c r="O6" s="7" t="n">
        <f aca="false">IF(K6="","",K6/100)</f>
        <v>0.51</v>
      </c>
    </row>
    <row r="7" customFormat="false" ht="15" hidden="false" customHeight="false" outlineLevel="0" collapsed="false">
      <c r="A7" s="6" t="n">
        <v>243</v>
      </c>
      <c r="B7" s="6" t="s">
        <v>58</v>
      </c>
      <c r="C7" s="6" t="s">
        <v>59</v>
      </c>
      <c r="D7" s="6"/>
      <c r="E7" s="6" t="n">
        <v>29</v>
      </c>
      <c r="F7" s="6" t="s">
        <v>60</v>
      </c>
      <c r="G7" s="6" t="n">
        <v>1999</v>
      </c>
      <c r="H7" s="6" t="n">
        <v>3449</v>
      </c>
      <c r="I7" s="6" t="n">
        <v>30</v>
      </c>
      <c r="J7" s="6" t="n">
        <v>7</v>
      </c>
      <c r="K7" s="6" t="n">
        <v>63</v>
      </c>
      <c r="L7" s="6" t="n">
        <f aca="false">IF(I7="","",ROUND($H7*I7/100,0))</f>
        <v>1035</v>
      </c>
      <c r="M7" s="6" t="n">
        <f aca="false">IF(J7="","",ROUND($H7*J7/100,0))</f>
        <v>241</v>
      </c>
      <c r="N7" s="6" t="n">
        <f aca="false">IF(K7="","",ROUND($H7*K7/100,0))</f>
        <v>2173</v>
      </c>
      <c r="O7" s="7" t="n">
        <f aca="false">IF(K7="","",K7/100)</f>
        <v>0.63</v>
      </c>
    </row>
    <row r="8" customFormat="false" ht="15" hidden="false" customHeight="false" outlineLevel="0" collapsed="false">
      <c r="A8" s="6" t="n">
        <v>243</v>
      </c>
      <c r="B8" s="6" t="s">
        <v>58</v>
      </c>
      <c r="C8" s="6" t="s">
        <v>59</v>
      </c>
      <c r="D8" s="6"/>
      <c r="E8" s="6" t="n">
        <v>29</v>
      </c>
      <c r="F8" s="6" t="s">
        <v>60</v>
      </c>
      <c r="G8" s="6" t="n">
        <v>2000</v>
      </c>
      <c r="H8" s="6" t="n">
        <v>3579</v>
      </c>
      <c r="I8" s="6" t="n">
        <v>37</v>
      </c>
      <c r="J8" s="6" t="n">
        <v>8</v>
      </c>
      <c r="K8" s="6" t="n">
        <v>55</v>
      </c>
      <c r="L8" s="6" t="n">
        <f aca="false">IF(I8="","",ROUND($H8*I8/100,0))</f>
        <v>1324</v>
      </c>
      <c r="M8" s="6" t="n">
        <f aca="false">IF(J8="","",ROUND($H8*J8/100,0))</f>
        <v>286</v>
      </c>
      <c r="N8" s="6" t="n">
        <f aca="false">IF(K8="","",ROUND($H8*K8/100,0))</f>
        <v>1968</v>
      </c>
      <c r="O8" s="7" t="n">
        <f aca="false">IF(K8="","",K8/100)</f>
        <v>0.55</v>
      </c>
    </row>
    <row r="9" customFormat="false" ht="15" hidden="false" customHeight="false" outlineLevel="0" collapsed="false">
      <c r="A9" s="6" t="n">
        <v>243</v>
      </c>
      <c r="B9" s="6" t="s">
        <v>58</v>
      </c>
      <c r="C9" s="6" t="s">
        <v>59</v>
      </c>
      <c r="D9" s="6"/>
      <c r="E9" s="6" t="n">
        <v>29</v>
      </c>
      <c r="F9" s="6" t="s">
        <v>60</v>
      </c>
      <c r="G9" s="6" t="n">
        <v>2001</v>
      </c>
      <c r="H9" s="6" t="n">
        <v>4027</v>
      </c>
      <c r="I9" s="6" t="n">
        <v>35</v>
      </c>
      <c r="J9" s="6" t="n">
        <v>9</v>
      </c>
      <c r="K9" s="6" t="n">
        <v>56</v>
      </c>
      <c r="L9" s="6" t="n">
        <f aca="false">IF(I9="","",ROUND($H9*I9/100,0))</f>
        <v>1409</v>
      </c>
      <c r="M9" s="6" t="n">
        <f aca="false">IF(J9="","",ROUND($H9*J9/100,0))</f>
        <v>362</v>
      </c>
      <c r="N9" s="6" t="n">
        <f aca="false">IF(K9="","",ROUND($H9*K9/100,0))</f>
        <v>2255</v>
      </c>
      <c r="O9" s="7" t="n">
        <f aca="false">IF(K9="","",K9/100)</f>
        <v>0.56</v>
      </c>
    </row>
    <row r="10" customFormat="false" ht="15" hidden="false" customHeight="false" outlineLevel="0" collapsed="false">
      <c r="A10" s="6" t="n">
        <v>243</v>
      </c>
      <c r="B10" s="6" t="s">
        <v>58</v>
      </c>
      <c r="C10" s="6" t="s">
        <v>59</v>
      </c>
      <c r="D10" s="6"/>
      <c r="E10" s="6" t="n">
        <v>29</v>
      </c>
      <c r="F10" s="6" t="s">
        <v>60</v>
      </c>
      <c r="G10" s="6" t="n">
        <v>2002</v>
      </c>
      <c r="H10" s="6" t="n">
        <v>3597</v>
      </c>
      <c r="I10" s="6" t="n">
        <v>32</v>
      </c>
      <c r="J10" s="6" t="n">
        <v>11</v>
      </c>
      <c r="K10" s="6" t="n">
        <v>57</v>
      </c>
      <c r="L10" s="6" t="n">
        <f aca="false">IF(I10="","",ROUND($H10*I10/100,0))</f>
        <v>1151</v>
      </c>
      <c r="M10" s="6" t="n">
        <f aca="false">IF(J10="","",ROUND($H10*J10/100,0))</f>
        <v>396</v>
      </c>
      <c r="N10" s="6" t="n">
        <f aca="false">IF(K10="","",ROUND($H10*K10/100,0))</f>
        <v>2050</v>
      </c>
      <c r="O10" s="7" t="n">
        <f aca="false">IF(K10="","",K10/100)</f>
        <v>0.57</v>
      </c>
    </row>
    <row r="11" customFormat="false" ht="15" hidden="false" customHeight="false" outlineLevel="0" collapsed="false">
      <c r="A11" s="6" t="n">
        <v>243</v>
      </c>
      <c r="B11" s="6" t="s">
        <v>58</v>
      </c>
      <c r="C11" s="6" t="s">
        <v>59</v>
      </c>
      <c r="D11" s="6"/>
      <c r="E11" s="6" t="n">
        <v>29</v>
      </c>
      <c r="F11" s="6" t="s">
        <v>60</v>
      </c>
      <c r="G11" s="6" t="n">
        <v>2003</v>
      </c>
      <c r="H11" s="6" t="n">
        <v>4019</v>
      </c>
      <c r="I11" s="6" t="n">
        <v>31</v>
      </c>
      <c r="J11" s="6" t="n">
        <v>13</v>
      </c>
      <c r="K11" s="6" t="n">
        <v>56</v>
      </c>
      <c r="L11" s="6" t="n">
        <f aca="false">IF(I11="","",ROUND($H11*I11/100,0))</f>
        <v>1246</v>
      </c>
      <c r="M11" s="6" t="n">
        <f aca="false">IF(J11="","",ROUND($H11*J11/100,0))</f>
        <v>522</v>
      </c>
      <c r="N11" s="6" t="n">
        <f aca="false">IF(K11="","",ROUND($H11*K11/100,0))</f>
        <v>2251</v>
      </c>
      <c r="O11" s="7" t="n">
        <f aca="false">IF(K11="","",K11/100)</f>
        <v>0.56</v>
      </c>
    </row>
    <row r="12" customFormat="false" ht="15" hidden="false" customHeight="false" outlineLevel="0" collapsed="false">
      <c r="A12" s="6" t="n">
        <v>243</v>
      </c>
      <c r="B12" s="6" t="s">
        <v>58</v>
      </c>
      <c r="C12" s="6" t="s">
        <v>59</v>
      </c>
      <c r="D12" s="6"/>
      <c r="E12" s="6" t="n">
        <v>29</v>
      </c>
      <c r="F12" s="6" t="s">
        <v>60</v>
      </c>
      <c r="G12" s="6" t="n">
        <v>2004</v>
      </c>
      <c r="H12" s="6" t="n">
        <v>4567</v>
      </c>
      <c r="I12" s="6" t="n">
        <v>29</v>
      </c>
      <c r="J12" s="6" t="n">
        <v>13</v>
      </c>
      <c r="K12" s="6" t="n">
        <v>58</v>
      </c>
      <c r="L12" s="6" t="n">
        <f aca="false">IF(I12="","",ROUND($H12*I12/100,0))</f>
        <v>1324</v>
      </c>
      <c r="M12" s="6" t="n">
        <f aca="false">IF(J12="","",ROUND($H12*J12/100,0))</f>
        <v>594</v>
      </c>
      <c r="N12" s="6" t="n">
        <f aca="false">IF(K12="","",ROUND($H12*K12/100,0))</f>
        <v>2649</v>
      </c>
      <c r="O12" s="7" t="n">
        <f aca="false">IF(K12="","",K12/100)</f>
        <v>0.58</v>
      </c>
    </row>
    <row r="13" customFormat="false" ht="15" hidden="false" customHeight="false" outlineLevel="0" collapsed="false">
      <c r="A13" s="6" t="n">
        <v>243</v>
      </c>
      <c r="B13" s="6" t="s">
        <v>58</v>
      </c>
      <c r="C13" s="6" t="s">
        <v>59</v>
      </c>
      <c r="D13" s="6"/>
      <c r="E13" s="6" t="n">
        <v>29</v>
      </c>
      <c r="F13" s="6" t="s">
        <v>60</v>
      </c>
      <c r="G13" s="6" t="n">
        <v>2005</v>
      </c>
      <c r="H13" s="6" t="n">
        <v>4961</v>
      </c>
      <c r="I13" s="6" t="n">
        <v>32</v>
      </c>
      <c r="J13" s="6" t="n">
        <v>11</v>
      </c>
      <c r="K13" s="6" t="n">
        <v>57</v>
      </c>
      <c r="L13" s="6" t="n">
        <f aca="false">IF(I13="","",ROUND($H13*I13/100,0))</f>
        <v>1588</v>
      </c>
      <c r="M13" s="6" t="n">
        <f aca="false">IF(J13="","",ROUND($H13*J13/100,0))</f>
        <v>546</v>
      </c>
      <c r="N13" s="6" t="n">
        <f aca="false">IF(K13="","",ROUND($H13*K13/100,0))</f>
        <v>2828</v>
      </c>
      <c r="O13" s="7" t="n">
        <f aca="false">IF(K13="","",K13/100)</f>
        <v>0.57</v>
      </c>
    </row>
    <row r="14" customFormat="false" ht="15" hidden="false" customHeight="false" outlineLevel="0" collapsed="false">
      <c r="A14" s="6" t="n">
        <v>243</v>
      </c>
      <c r="B14" s="6" t="s">
        <v>58</v>
      </c>
      <c r="C14" s="6" t="s">
        <v>59</v>
      </c>
      <c r="D14" s="6"/>
      <c r="E14" s="6" t="n">
        <v>29</v>
      </c>
      <c r="F14" s="6" t="s">
        <v>60</v>
      </c>
      <c r="G14" s="6" t="n">
        <v>2006</v>
      </c>
      <c r="H14" s="6" t="n">
        <v>5206</v>
      </c>
      <c r="I14" s="6" t="n">
        <v>32</v>
      </c>
      <c r="J14" s="6" t="n">
        <v>11</v>
      </c>
      <c r="K14" s="6" t="n">
        <v>57</v>
      </c>
      <c r="L14" s="6" t="n">
        <f aca="false">IF(I14="","",ROUND($H14*I14/100,0))</f>
        <v>1666</v>
      </c>
      <c r="M14" s="6" t="n">
        <f aca="false">IF(J14="","",ROUND($H14*J14/100,0))</f>
        <v>573</v>
      </c>
      <c r="N14" s="6" t="n">
        <f aca="false">IF(K14="","",ROUND($H14*K14/100,0))</f>
        <v>2967</v>
      </c>
      <c r="O14" s="7" t="n">
        <f aca="false">IF(K14="","",K14/100)</f>
        <v>0.57</v>
      </c>
    </row>
    <row r="15" customFormat="false" ht="15" hidden="false" customHeight="false" outlineLevel="0" collapsed="false">
      <c r="A15" s="6" t="n">
        <v>243</v>
      </c>
      <c r="B15" s="6" t="s">
        <v>58</v>
      </c>
      <c r="C15" s="6" t="s">
        <v>59</v>
      </c>
      <c r="D15" s="6"/>
      <c r="E15" s="6" t="n">
        <v>29</v>
      </c>
      <c r="F15" s="6" t="s">
        <v>60</v>
      </c>
      <c r="G15" s="6" t="n">
        <v>2007</v>
      </c>
      <c r="H15" s="6" t="n">
        <v>5475</v>
      </c>
      <c r="I15" s="6" t="n">
        <v>35</v>
      </c>
      <c r="J15" s="6" t="n">
        <v>11</v>
      </c>
      <c r="K15" s="6" t="n">
        <v>54</v>
      </c>
      <c r="L15" s="6" t="n">
        <f aca="false">IF(I15="","",ROUND($H15*I15/100,0))</f>
        <v>1916</v>
      </c>
      <c r="M15" s="6" t="n">
        <f aca="false">IF(J15="","",ROUND($H15*J15/100,0))</f>
        <v>602</v>
      </c>
      <c r="N15" s="6" t="n">
        <f aca="false">IF(K15="","",ROUND($H15*K15/100,0))</f>
        <v>2957</v>
      </c>
      <c r="O15" s="7" t="n">
        <f aca="false">IF(K15="","",K15/100)</f>
        <v>0.54</v>
      </c>
    </row>
    <row r="16" customFormat="false" ht="15" hidden="false" customHeight="false" outlineLevel="0" collapsed="false">
      <c r="A16" s="6" t="n">
        <v>243</v>
      </c>
      <c r="B16" s="6" t="s">
        <v>58</v>
      </c>
      <c r="C16" s="6" t="s">
        <v>59</v>
      </c>
      <c r="D16" s="6"/>
      <c r="E16" s="6" t="n">
        <v>29</v>
      </c>
      <c r="F16" s="6" t="s">
        <v>60</v>
      </c>
      <c r="G16" s="6" t="n">
        <v>2008</v>
      </c>
      <c r="H16" s="6" t="n">
        <v>5326</v>
      </c>
      <c r="I16" s="6" t="n">
        <v>35</v>
      </c>
      <c r="J16" s="6" t="n">
        <v>12</v>
      </c>
      <c r="K16" s="6" t="n">
        <v>53</v>
      </c>
      <c r="L16" s="6" t="n">
        <f aca="false">IF(I16="","",ROUND($H16*I16/100,0))</f>
        <v>1864</v>
      </c>
      <c r="M16" s="6" t="n">
        <f aca="false">IF(J16="","",ROUND($H16*J16/100,0))</f>
        <v>639</v>
      </c>
      <c r="N16" s="6" t="n">
        <f aca="false">IF(K16="","",ROUND($H16*K16/100,0))</f>
        <v>2823</v>
      </c>
      <c r="O16" s="7" t="n">
        <f aca="false">IF(K16="","",K16/100)</f>
        <v>0.53</v>
      </c>
    </row>
    <row r="17" customFormat="false" ht="15" hidden="false" customHeight="false" outlineLevel="0" collapsed="false">
      <c r="A17" s="6" t="n">
        <v>243</v>
      </c>
      <c r="B17" s="6" t="s">
        <v>58</v>
      </c>
      <c r="C17" s="6" t="s">
        <v>59</v>
      </c>
      <c r="D17" s="6"/>
      <c r="E17" s="6" t="n">
        <v>29</v>
      </c>
      <c r="F17" s="6" t="s">
        <v>60</v>
      </c>
      <c r="G17" s="6" t="n">
        <v>2010</v>
      </c>
      <c r="H17" s="6" t="n">
        <v>4013</v>
      </c>
      <c r="I17" s="6" t="n">
        <v>29</v>
      </c>
      <c r="J17" s="6" t="n">
        <v>9</v>
      </c>
      <c r="K17" s="6" t="n">
        <v>62</v>
      </c>
      <c r="L17" s="6" t="n">
        <f aca="false">IF(I17="","",ROUND($H17*I17/100,0))</f>
        <v>1164</v>
      </c>
      <c r="M17" s="6" t="n">
        <f aca="false">IF(J17="","",ROUND($H17*J17/100,0))</f>
        <v>361</v>
      </c>
      <c r="N17" s="6" t="n">
        <f aca="false">IF(K17="","",ROUND($H17*K17/100,0))</f>
        <v>2488</v>
      </c>
      <c r="O17" s="7" t="n">
        <f aca="false">IF(K17="","",K17/100)</f>
        <v>0.62</v>
      </c>
    </row>
    <row r="18" customFormat="false" ht="15" hidden="false" customHeight="false" outlineLevel="0" collapsed="false">
      <c r="A18" s="6" t="n">
        <v>243</v>
      </c>
      <c r="B18" s="6" t="s">
        <v>58</v>
      </c>
      <c r="C18" s="6" t="s">
        <v>59</v>
      </c>
      <c r="D18" s="6"/>
      <c r="E18" s="6" t="n">
        <v>29</v>
      </c>
      <c r="F18" s="6" t="s">
        <v>60</v>
      </c>
      <c r="G18" s="6" t="n">
        <v>2011</v>
      </c>
      <c r="H18" s="6" t="n">
        <v>6143</v>
      </c>
      <c r="I18" s="6" t="n">
        <v>30</v>
      </c>
      <c r="J18" s="6" t="n">
        <v>10</v>
      </c>
      <c r="K18" s="6" t="n">
        <v>60</v>
      </c>
      <c r="L18" s="6" t="n">
        <f aca="false">IF(I18="","",ROUND($H18*I18/100,0))</f>
        <v>1843</v>
      </c>
      <c r="M18" s="6" t="n">
        <f aca="false">IF(J18="","",ROUND($H18*J18/100,0))</f>
        <v>614</v>
      </c>
      <c r="N18" s="6" t="n">
        <f aca="false">IF(K18="","",ROUND($H18*K18/100,0))</f>
        <v>3686</v>
      </c>
      <c r="O18" s="7" t="n">
        <f aca="false">IF(K18="","",K18/100)</f>
        <v>0.6</v>
      </c>
    </row>
    <row r="19" customFormat="false" ht="15" hidden="false" customHeight="false" outlineLevel="0" collapsed="false">
      <c r="A19" s="6" t="n">
        <v>243</v>
      </c>
      <c r="B19" s="6" t="s">
        <v>58</v>
      </c>
      <c r="C19" s="6" t="s">
        <v>59</v>
      </c>
      <c r="D19" s="6"/>
      <c r="E19" s="6" t="n">
        <v>29</v>
      </c>
      <c r="F19" s="6" t="s">
        <v>60</v>
      </c>
      <c r="G19" s="6" t="n">
        <v>2012</v>
      </c>
      <c r="H19" s="6" t="n">
        <v>5721</v>
      </c>
      <c r="I19" s="6" t="n">
        <v>27</v>
      </c>
      <c r="J19" s="6" t="n">
        <v>9</v>
      </c>
      <c r="K19" s="6" t="n">
        <v>64</v>
      </c>
      <c r="L19" s="6" t="n">
        <f aca="false">IF(I19="","",ROUND($H19*I19/100,0))</f>
        <v>1545</v>
      </c>
      <c r="M19" s="6" t="n">
        <f aca="false">IF(J19="","",ROUND($H19*J19/100,0))</f>
        <v>515</v>
      </c>
      <c r="N19" s="6" t="n">
        <f aca="false">IF(K19="","",ROUND($H19*K19/100,0))</f>
        <v>3661</v>
      </c>
      <c r="O19" s="7" t="n">
        <f aca="false">IF(K19="","",K19/100)</f>
        <v>0.64</v>
      </c>
    </row>
    <row r="20" customFormat="false" ht="15" hidden="false" customHeight="false" outlineLevel="0" collapsed="false">
      <c r="A20" s="6" t="n">
        <v>243</v>
      </c>
      <c r="B20" s="6" t="s">
        <v>58</v>
      </c>
      <c r="C20" s="6" t="s">
        <v>59</v>
      </c>
      <c r="D20" s="6"/>
      <c r="E20" s="6" t="n">
        <v>29</v>
      </c>
      <c r="F20" s="6" t="s">
        <v>60</v>
      </c>
      <c r="G20" s="6" t="n">
        <v>2013</v>
      </c>
      <c r="H20" s="6" t="n">
        <v>5757</v>
      </c>
      <c r="I20" s="6" t="n">
        <v>31</v>
      </c>
      <c r="J20" s="6" t="n">
        <v>8</v>
      </c>
      <c r="K20" s="6" t="n">
        <v>61</v>
      </c>
      <c r="L20" s="6" t="n">
        <f aca="false">IF(I20="","",ROUND($H20*I20/100,0))</f>
        <v>1785</v>
      </c>
      <c r="M20" s="6" t="n">
        <f aca="false">IF(J20="","",ROUND($H20*J20/100,0))</f>
        <v>461</v>
      </c>
      <c r="N20" s="6" t="n">
        <f aca="false">IF(K20="","",ROUND($H20*K20/100,0))</f>
        <v>3512</v>
      </c>
      <c r="O20" s="7" t="n">
        <f aca="false">IF(K20="","",K20/100)</f>
        <v>0.61</v>
      </c>
    </row>
    <row r="21" customFormat="false" ht="15" hidden="false" customHeight="false" outlineLevel="0" collapsed="false">
      <c r="A21" s="6" t="n">
        <v>243</v>
      </c>
      <c r="B21" s="6" t="s">
        <v>58</v>
      </c>
      <c r="C21" s="6" t="s">
        <v>59</v>
      </c>
      <c r="D21" s="6"/>
      <c r="E21" s="6" t="n">
        <v>29</v>
      </c>
      <c r="F21" s="6" t="s">
        <v>60</v>
      </c>
      <c r="G21" s="6" t="n">
        <v>2014</v>
      </c>
      <c r="H21" s="6" t="n">
        <v>6234</v>
      </c>
      <c r="I21" s="6" t="n">
        <v>28</v>
      </c>
      <c r="J21" s="6" t="n">
        <v>9</v>
      </c>
      <c r="K21" s="6" t="n">
        <v>63</v>
      </c>
      <c r="L21" s="6" t="n">
        <f aca="false">IF(I21="","",ROUND($H21*I21/100,0))</f>
        <v>1746</v>
      </c>
      <c r="M21" s="6" t="n">
        <f aca="false">IF(J21="","",ROUND($H21*J21/100,0))</f>
        <v>561</v>
      </c>
      <c r="N21" s="6" t="n">
        <f aca="false">IF(K21="","",ROUND($H21*K21/100,0))</f>
        <v>3927</v>
      </c>
      <c r="O21" s="7" t="n">
        <f aca="false">IF(K21="","",K21/100)</f>
        <v>0.63</v>
      </c>
    </row>
    <row r="22" customFormat="false" ht="15" hidden="false" customHeight="false" outlineLevel="0" collapsed="false">
      <c r="A22" s="6" t="n">
        <v>243</v>
      </c>
      <c r="B22" s="6" t="s">
        <v>58</v>
      </c>
      <c r="C22" s="6" t="s">
        <v>59</v>
      </c>
      <c r="D22" s="6"/>
      <c r="E22" s="6" t="n">
        <v>29</v>
      </c>
      <c r="F22" s="6" t="s">
        <v>60</v>
      </c>
      <c r="G22" s="6" t="n">
        <v>2015</v>
      </c>
      <c r="H22" s="6" t="n">
        <v>6899</v>
      </c>
      <c r="I22" s="6" t="n">
        <v>29</v>
      </c>
      <c r="J22" s="6" t="n">
        <v>9</v>
      </c>
      <c r="K22" s="6" t="n">
        <v>62</v>
      </c>
      <c r="L22" s="6" t="n">
        <f aca="false">IF(I22="","",ROUND($H22*I22/100,0))</f>
        <v>2001</v>
      </c>
      <c r="M22" s="6" t="n">
        <f aca="false">IF(J22="","",ROUND($H22*J22/100,0))</f>
        <v>621</v>
      </c>
      <c r="N22" s="6" t="n">
        <f aca="false">IF(K22="","",ROUND($H22*K22/100,0))</f>
        <v>4277</v>
      </c>
      <c r="O22" s="7" t="n">
        <f aca="false">IF(K22="","",K22/100)</f>
        <v>0.62</v>
      </c>
    </row>
    <row r="23" customFormat="false" ht="15" hidden="false" customHeight="false" outlineLevel="0" collapsed="false">
      <c r="A23" s="6" t="n">
        <v>243</v>
      </c>
      <c r="B23" s="6" t="s">
        <v>58</v>
      </c>
      <c r="C23" s="6" t="s">
        <v>59</v>
      </c>
      <c r="D23" s="6"/>
      <c r="E23" s="6" t="n">
        <v>29</v>
      </c>
      <c r="F23" s="6" t="s">
        <v>60</v>
      </c>
      <c r="G23" s="6" t="n">
        <v>2016</v>
      </c>
      <c r="H23" s="6" t="n">
        <v>7150</v>
      </c>
      <c r="I23" s="6" t="n">
        <v>40</v>
      </c>
      <c r="J23" s="6" t="n">
        <v>9</v>
      </c>
      <c r="K23" s="6" t="n">
        <v>51</v>
      </c>
      <c r="L23" s="6" t="n">
        <f aca="false">IF(I23="","",ROUND($H23*I23/100,0))</f>
        <v>2860</v>
      </c>
      <c r="M23" s="6" t="n">
        <f aca="false">IF(J23="","",ROUND($H23*J23/100,0))</f>
        <v>644</v>
      </c>
      <c r="N23" s="6" t="n">
        <f aca="false">IF(K23="","",ROUND($H23*K23/100,0))</f>
        <v>3647</v>
      </c>
      <c r="O23" s="7" t="n">
        <f aca="false">IF(K23="","",K23/100)</f>
        <v>0.51</v>
      </c>
    </row>
    <row r="24" customFormat="false" ht="15" hidden="false" customHeight="false" outlineLevel="0" collapsed="false">
      <c r="A24" s="6" t="n">
        <v>243</v>
      </c>
      <c r="B24" s="6" t="s">
        <v>58</v>
      </c>
      <c r="C24" s="6" t="s">
        <v>59</v>
      </c>
      <c r="D24" s="6"/>
      <c r="E24" s="6" t="n">
        <v>29</v>
      </c>
      <c r="F24" s="6" t="s">
        <v>60</v>
      </c>
      <c r="G24" s="6" t="n">
        <v>2017</v>
      </c>
      <c r="H24" s="6" t="n">
        <v>7080</v>
      </c>
      <c r="I24" s="6" t="n">
        <v>41</v>
      </c>
      <c r="J24" s="6" t="n">
        <v>9</v>
      </c>
      <c r="K24" s="6" t="n">
        <v>50</v>
      </c>
      <c r="L24" s="6" t="n">
        <f aca="false">IF(I24="","",ROUND($H24*I24/100,0))</f>
        <v>2903</v>
      </c>
      <c r="M24" s="6" t="n">
        <f aca="false">IF(J24="","",ROUND($H24*J24/100,0))</f>
        <v>637</v>
      </c>
      <c r="N24" s="6" t="n">
        <f aca="false">IF(K24="","",ROUND($H24*K24/100,0))</f>
        <v>3540</v>
      </c>
      <c r="O24" s="7" t="n">
        <f aca="false">IF(K24="","",K24/100)</f>
        <v>0.5</v>
      </c>
    </row>
    <row r="25" customFormat="false" ht="15" hidden="false" customHeight="false" outlineLevel="0" collapsed="false">
      <c r="A25" s="6" t="n">
        <v>244</v>
      </c>
      <c r="B25" s="6" t="s">
        <v>61</v>
      </c>
      <c r="C25" s="6" t="s">
        <v>62</v>
      </c>
      <c r="D25" s="6" t="s">
        <v>63</v>
      </c>
      <c r="E25" s="6" t="n">
        <v>45</v>
      </c>
      <c r="F25" s="6" t="s">
        <v>60</v>
      </c>
      <c r="G25" s="6" t="n">
        <v>1997</v>
      </c>
      <c r="H25" s="6" t="n">
        <v>3194</v>
      </c>
      <c r="I25" s="6" t="n">
        <v>32</v>
      </c>
      <c r="J25" s="6" t="n">
        <v>8</v>
      </c>
      <c r="K25" s="6" t="n">
        <v>60</v>
      </c>
      <c r="L25" s="6" t="n">
        <f aca="false">IF(I25="","",ROUND($H25*I25/100,0))</f>
        <v>1022</v>
      </c>
      <c r="M25" s="6" t="n">
        <f aca="false">IF(J25="","",ROUND($H25*J25/100,0))</f>
        <v>256</v>
      </c>
      <c r="N25" s="6" t="n">
        <f aca="false">IF(K25="","",ROUND($H25*K25/100,0))</f>
        <v>1916</v>
      </c>
      <c r="O25" s="7" t="n">
        <f aca="false">IF(K25="","",K25/100)</f>
        <v>0.6</v>
      </c>
    </row>
    <row r="26" customFormat="false" ht="15" hidden="false" customHeight="false" outlineLevel="0" collapsed="false">
      <c r="A26" s="6" t="n">
        <v>244</v>
      </c>
      <c r="B26" s="6" t="s">
        <v>61</v>
      </c>
      <c r="C26" s="6" t="s">
        <v>62</v>
      </c>
      <c r="D26" s="6" t="s">
        <v>63</v>
      </c>
      <c r="E26" s="6" t="n">
        <v>45</v>
      </c>
      <c r="F26" s="6" t="s">
        <v>60</v>
      </c>
      <c r="G26" s="6" t="n">
        <v>1998</v>
      </c>
      <c r="H26" s="6" t="n">
        <v>3546</v>
      </c>
      <c r="I26" s="6" t="n">
        <v>30</v>
      </c>
      <c r="J26" s="6" t="n">
        <v>7</v>
      </c>
      <c r="K26" s="6" t="n">
        <v>63</v>
      </c>
      <c r="L26" s="6" t="n">
        <f aca="false">IF(I26="","",ROUND($H26*I26/100,0))</f>
        <v>1064</v>
      </c>
      <c r="M26" s="6" t="n">
        <f aca="false">IF(J26="","",ROUND($H26*J26/100,0))</f>
        <v>248</v>
      </c>
      <c r="N26" s="6" t="n">
        <f aca="false">IF(K26="","",ROUND($H26*K26/100,0))</f>
        <v>2234</v>
      </c>
      <c r="O26" s="7" t="n">
        <f aca="false">IF(K26="","",K26/100)</f>
        <v>0.63</v>
      </c>
    </row>
    <row r="27" customFormat="false" ht="15" hidden="false" customHeight="false" outlineLevel="0" collapsed="false">
      <c r="A27" s="6" t="n">
        <v>244</v>
      </c>
      <c r="B27" s="6" t="s">
        <v>61</v>
      </c>
      <c r="C27" s="6" t="s">
        <v>62</v>
      </c>
      <c r="D27" s="6" t="s">
        <v>63</v>
      </c>
      <c r="E27" s="6" t="n">
        <v>45</v>
      </c>
      <c r="F27" s="6" t="s">
        <v>60</v>
      </c>
      <c r="G27" s="6" t="n">
        <v>1999</v>
      </c>
      <c r="H27" s="6" t="n">
        <v>2932</v>
      </c>
      <c r="I27" s="6" t="n">
        <v>31</v>
      </c>
      <c r="J27" s="6" t="n">
        <v>6</v>
      </c>
      <c r="K27" s="6" t="n">
        <v>63</v>
      </c>
      <c r="L27" s="6" t="n">
        <f aca="false">IF(I27="","",ROUND($H27*I27/100,0))</f>
        <v>909</v>
      </c>
      <c r="M27" s="6" t="n">
        <f aca="false">IF(J27="","",ROUND($H27*J27/100,0))</f>
        <v>176</v>
      </c>
      <c r="N27" s="6" t="n">
        <f aca="false">IF(K27="","",ROUND($H27*K27/100,0))</f>
        <v>1847</v>
      </c>
      <c r="O27" s="7" t="n">
        <f aca="false">IF(K27="","",K27/100)</f>
        <v>0.63</v>
      </c>
    </row>
    <row r="28" customFormat="false" ht="15" hidden="false" customHeight="false" outlineLevel="0" collapsed="false">
      <c r="A28" s="6" t="n">
        <v>244</v>
      </c>
      <c r="B28" s="6" t="s">
        <v>61</v>
      </c>
      <c r="C28" s="6" t="s">
        <v>62</v>
      </c>
      <c r="D28" s="6" t="s">
        <v>63</v>
      </c>
      <c r="E28" s="6" t="n">
        <v>45</v>
      </c>
      <c r="F28" s="6" t="s">
        <v>60</v>
      </c>
      <c r="G28" s="6" t="n">
        <v>2000</v>
      </c>
      <c r="H28" s="6" t="n">
        <v>3147</v>
      </c>
      <c r="I28" s="6" t="n">
        <v>30</v>
      </c>
      <c r="J28" s="6" t="n">
        <v>8</v>
      </c>
      <c r="K28" s="6" t="n">
        <v>62</v>
      </c>
      <c r="L28" s="6" t="n">
        <f aca="false">IF(I28="","",ROUND($H28*I28/100,0))</f>
        <v>944</v>
      </c>
      <c r="M28" s="6" t="n">
        <f aca="false">IF(J28="","",ROUND($H28*J28/100,0))</f>
        <v>252</v>
      </c>
      <c r="N28" s="6" t="n">
        <f aca="false">IF(K28="","",ROUND($H28*K28/100,0))</f>
        <v>1951</v>
      </c>
      <c r="O28" s="7" t="n">
        <f aca="false">IF(K28="","",K28/100)</f>
        <v>0.62</v>
      </c>
    </row>
    <row r="29" customFormat="false" ht="15" hidden="false" customHeight="false" outlineLevel="0" collapsed="false">
      <c r="A29" s="6" t="n">
        <v>244</v>
      </c>
      <c r="B29" s="6" t="s">
        <v>61</v>
      </c>
      <c r="C29" s="6" t="s">
        <v>62</v>
      </c>
      <c r="D29" s="6" t="s">
        <v>63</v>
      </c>
      <c r="E29" s="6" t="n">
        <v>45</v>
      </c>
      <c r="F29" s="6" t="s">
        <v>60</v>
      </c>
      <c r="G29" s="6" t="n">
        <v>2001</v>
      </c>
      <c r="H29" s="6" t="n">
        <v>3093</v>
      </c>
      <c r="I29" s="6" t="n">
        <v>29</v>
      </c>
      <c r="J29" s="6" t="n">
        <v>8</v>
      </c>
      <c r="K29" s="6" t="n">
        <v>63</v>
      </c>
      <c r="L29" s="6" t="n">
        <f aca="false">IF(I29="","",ROUND($H29*I29/100,0))</f>
        <v>897</v>
      </c>
      <c r="M29" s="6" t="n">
        <f aca="false">IF(J29="","",ROUND($H29*J29/100,0))</f>
        <v>247</v>
      </c>
      <c r="N29" s="6" t="n">
        <f aca="false">IF(K29="","",ROUND($H29*K29/100,0))</f>
        <v>1949</v>
      </c>
      <c r="O29" s="7" t="n">
        <f aca="false">IF(K29="","",K29/100)</f>
        <v>0.63</v>
      </c>
    </row>
    <row r="30" customFormat="false" ht="15" hidden="false" customHeight="false" outlineLevel="0" collapsed="false">
      <c r="A30" s="6" t="n">
        <v>244</v>
      </c>
      <c r="B30" s="6" t="s">
        <v>61</v>
      </c>
      <c r="C30" s="6" t="s">
        <v>62</v>
      </c>
      <c r="D30" s="6" t="s">
        <v>63</v>
      </c>
      <c r="E30" s="6" t="n">
        <v>45</v>
      </c>
      <c r="F30" s="6" t="s">
        <v>60</v>
      </c>
      <c r="G30" s="6" t="n">
        <v>2002</v>
      </c>
      <c r="H30" s="6" t="n">
        <v>3374</v>
      </c>
      <c r="I30" s="6" t="n">
        <v>20</v>
      </c>
      <c r="J30" s="6" t="n">
        <v>12</v>
      </c>
      <c r="K30" s="6" t="n">
        <v>68</v>
      </c>
      <c r="L30" s="6" t="n">
        <f aca="false">IF(I30="","",ROUND($H30*I30/100,0))</f>
        <v>675</v>
      </c>
      <c r="M30" s="6" t="n">
        <f aca="false">IF(J30="","",ROUND($H30*J30/100,0))</f>
        <v>405</v>
      </c>
      <c r="N30" s="6" t="n">
        <f aca="false">IF(K30="","",ROUND($H30*K30/100,0))</f>
        <v>2294</v>
      </c>
      <c r="O30" s="7" t="n">
        <f aca="false">IF(K30="","",K30/100)</f>
        <v>0.68</v>
      </c>
    </row>
    <row r="31" customFormat="false" ht="15" hidden="false" customHeight="false" outlineLevel="0" collapsed="false">
      <c r="A31" s="6" t="n">
        <v>244</v>
      </c>
      <c r="B31" s="6" t="s">
        <v>61</v>
      </c>
      <c r="C31" s="6" t="s">
        <v>62</v>
      </c>
      <c r="D31" s="6" t="s">
        <v>63</v>
      </c>
      <c r="E31" s="6" t="n">
        <v>45</v>
      </c>
      <c r="F31" s="6" t="s">
        <v>60</v>
      </c>
      <c r="G31" s="6" t="n">
        <v>2003</v>
      </c>
      <c r="H31" s="6" t="n">
        <v>3412</v>
      </c>
      <c r="I31" s="6" t="n">
        <v>30</v>
      </c>
      <c r="J31" s="6" t="n">
        <v>12</v>
      </c>
      <c r="K31" s="6" t="n">
        <v>58</v>
      </c>
      <c r="L31" s="6" t="n">
        <f aca="false">IF(I31="","",ROUND($H31*I31/100,0))</f>
        <v>1024</v>
      </c>
      <c r="M31" s="6" t="n">
        <f aca="false">IF(J31="","",ROUND($H31*J31/100,0))</f>
        <v>409</v>
      </c>
      <c r="N31" s="6" t="n">
        <f aca="false">IF(K31="","",ROUND($H31*K31/100,0))</f>
        <v>1979</v>
      </c>
      <c r="O31" s="7" t="n">
        <f aca="false">IF(K31="","",K31/100)</f>
        <v>0.58</v>
      </c>
    </row>
    <row r="32" customFormat="false" ht="15" hidden="false" customHeight="false" outlineLevel="0" collapsed="false">
      <c r="A32" s="6" t="n">
        <v>244</v>
      </c>
      <c r="B32" s="6" t="s">
        <v>61</v>
      </c>
      <c r="C32" s="6" t="s">
        <v>62</v>
      </c>
      <c r="D32" s="6" t="s">
        <v>63</v>
      </c>
      <c r="E32" s="6" t="n">
        <v>45</v>
      </c>
      <c r="F32" s="6" t="s">
        <v>60</v>
      </c>
      <c r="G32" s="6" t="n">
        <v>2004</v>
      </c>
      <c r="H32" s="6" t="n">
        <v>3600</v>
      </c>
      <c r="I32" s="6" t="n">
        <v>31</v>
      </c>
      <c r="J32" s="6" t="n">
        <v>10</v>
      </c>
      <c r="K32" s="6" t="n">
        <v>59</v>
      </c>
      <c r="L32" s="6" t="n">
        <f aca="false">IF(I32="","",ROUND($H32*I32/100,0))</f>
        <v>1116</v>
      </c>
      <c r="M32" s="6" t="n">
        <f aca="false">IF(J32="","",ROUND($H32*J32/100,0))</f>
        <v>360</v>
      </c>
      <c r="N32" s="6" t="n">
        <f aca="false">IF(K32="","",ROUND($H32*K32/100,0))</f>
        <v>2124</v>
      </c>
      <c r="O32" s="7" t="n">
        <f aca="false">IF(K32="","",K32/100)</f>
        <v>0.59</v>
      </c>
    </row>
    <row r="33" customFormat="false" ht="15" hidden="false" customHeight="false" outlineLevel="0" collapsed="false">
      <c r="A33" s="6" t="n">
        <v>244</v>
      </c>
      <c r="B33" s="6" t="s">
        <v>61</v>
      </c>
      <c r="C33" s="6" t="s">
        <v>62</v>
      </c>
      <c r="D33" s="6" t="s">
        <v>63</v>
      </c>
      <c r="E33" s="6" t="n">
        <v>45</v>
      </c>
      <c r="F33" s="6" t="s">
        <v>60</v>
      </c>
      <c r="G33" s="6" t="n">
        <v>2005</v>
      </c>
      <c r="H33" s="6" t="n">
        <v>4670</v>
      </c>
      <c r="I33" s="6" t="n">
        <v>23</v>
      </c>
      <c r="J33" s="6" t="n">
        <v>14</v>
      </c>
      <c r="K33" s="6" t="n">
        <v>63</v>
      </c>
      <c r="L33" s="6" t="n">
        <f aca="false">IF(I33="","",ROUND($H33*I33/100,0))</f>
        <v>1074</v>
      </c>
      <c r="M33" s="6" t="n">
        <f aca="false">IF(J33="","",ROUND($H33*J33/100,0))</f>
        <v>654</v>
      </c>
      <c r="N33" s="6" t="n">
        <f aca="false">IF(K33="","",ROUND($H33*K33/100,0))</f>
        <v>2942</v>
      </c>
      <c r="O33" s="7" t="n">
        <f aca="false">IF(K33="","",K33/100)</f>
        <v>0.63</v>
      </c>
    </row>
    <row r="34" customFormat="false" ht="15" hidden="false" customHeight="false" outlineLevel="0" collapsed="false">
      <c r="A34" s="6" t="n">
        <v>244</v>
      </c>
      <c r="B34" s="6" t="s">
        <v>61</v>
      </c>
      <c r="C34" s="6" t="s">
        <v>62</v>
      </c>
      <c r="D34" s="6" t="s">
        <v>63</v>
      </c>
      <c r="E34" s="6" t="n">
        <v>45</v>
      </c>
      <c r="F34" s="6" t="s">
        <v>60</v>
      </c>
      <c r="G34" s="6" t="n">
        <v>2006</v>
      </c>
      <c r="H34" s="6" t="n">
        <v>4498</v>
      </c>
      <c r="I34" s="6" t="n">
        <v>24</v>
      </c>
      <c r="J34" s="6" t="n">
        <v>11</v>
      </c>
      <c r="K34" s="6" t="n">
        <v>65</v>
      </c>
      <c r="L34" s="6" t="n">
        <f aca="false">IF(I34="","",ROUND($H34*I34/100,0))</f>
        <v>1080</v>
      </c>
      <c r="M34" s="6" t="n">
        <f aca="false">IF(J34="","",ROUND($H34*J34/100,0))</f>
        <v>495</v>
      </c>
      <c r="N34" s="6" t="n">
        <f aca="false">IF(K34="","",ROUND($H34*K34/100,0))</f>
        <v>2924</v>
      </c>
      <c r="O34" s="7" t="n">
        <f aca="false">IF(K34="","",K34/100)</f>
        <v>0.65</v>
      </c>
    </row>
    <row r="35" customFormat="false" ht="15" hidden="false" customHeight="false" outlineLevel="0" collapsed="false">
      <c r="A35" s="6" t="n">
        <v>244</v>
      </c>
      <c r="B35" s="6" t="s">
        <v>61</v>
      </c>
      <c r="C35" s="6" t="s">
        <v>62</v>
      </c>
      <c r="D35" s="6" t="s">
        <v>63</v>
      </c>
      <c r="E35" s="6" t="n">
        <v>45</v>
      </c>
      <c r="F35" s="6" t="s">
        <v>60</v>
      </c>
      <c r="G35" s="6" t="n">
        <v>2007</v>
      </c>
      <c r="H35" s="6" t="n">
        <v>4898</v>
      </c>
      <c r="I35" s="6" t="n">
        <v>32</v>
      </c>
      <c r="J35" s="6" t="n">
        <v>12</v>
      </c>
      <c r="K35" s="6" t="n">
        <v>56</v>
      </c>
      <c r="L35" s="6" t="n">
        <f aca="false">IF(I35="","",ROUND($H35*I35/100,0))</f>
        <v>1567</v>
      </c>
      <c r="M35" s="6" t="n">
        <f aca="false">IF(J35="","",ROUND($H35*J35/100,0))</f>
        <v>588</v>
      </c>
      <c r="N35" s="6" t="n">
        <f aca="false">IF(K35="","",ROUND($H35*K35/100,0))</f>
        <v>2743</v>
      </c>
      <c r="O35" s="7" t="n">
        <f aca="false">IF(K35="","",K35/100)</f>
        <v>0.56</v>
      </c>
    </row>
    <row r="36" customFormat="false" ht="15" hidden="false" customHeight="false" outlineLevel="0" collapsed="false">
      <c r="A36" s="6" t="n">
        <v>244</v>
      </c>
      <c r="B36" s="6" t="s">
        <v>61</v>
      </c>
      <c r="C36" s="6" t="s">
        <v>62</v>
      </c>
      <c r="D36" s="6" t="s">
        <v>63</v>
      </c>
      <c r="E36" s="6" t="n">
        <v>45</v>
      </c>
      <c r="F36" s="6" t="s">
        <v>60</v>
      </c>
      <c r="G36" s="6" t="n">
        <v>2008</v>
      </c>
      <c r="H36" s="6" t="n">
        <v>4773</v>
      </c>
      <c r="I36" s="6" t="n">
        <v>26</v>
      </c>
      <c r="J36" s="6" t="n">
        <v>16</v>
      </c>
      <c r="K36" s="6" t="n">
        <v>58</v>
      </c>
      <c r="L36" s="6" t="n">
        <f aca="false">IF(I36="","",ROUND($H36*I36/100,0))</f>
        <v>1241</v>
      </c>
      <c r="M36" s="6" t="n">
        <f aca="false">IF(J36="","",ROUND($H36*J36/100,0))</f>
        <v>764</v>
      </c>
      <c r="N36" s="6" t="n">
        <f aca="false">IF(K36="","",ROUND($H36*K36/100,0))</f>
        <v>2768</v>
      </c>
      <c r="O36" s="7" t="n">
        <f aca="false">IF(K36="","",K36/100)</f>
        <v>0.58</v>
      </c>
    </row>
    <row r="37" customFormat="false" ht="15" hidden="false" customHeight="false" outlineLevel="0" collapsed="false">
      <c r="A37" s="6" t="n">
        <v>244</v>
      </c>
      <c r="B37" s="6" t="s">
        <v>61</v>
      </c>
      <c r="C37" s="6" t="s">
        <v>62</v>
      </c>
      <c r="D37" s="6" t="s">
        <v>63</v>
      </c>
      <c r="E37" s="6" t="n">
        <v>45</v>
      </c>
      <c r="F37" s="6" t="s">
        <v>60</v>
      </c>
      <c r="G37" s="6" t="n">
        <v>2011</v>
      </c>
      <c r="H37" s="6" t="n">
        <v>5741</v>
      </c>
      <c r="I37" s="6" t="n">
        <v>25</v>
      </c>
      <c r="J37" s="6" t="n">
        <v>8</v>
      </c>
      <c r="K37" s="6" t="n">
        <v>67</v>
      </c>
      <c r="L37" s="6" t="n">
        <f aca="false">IF(I37="","",ROUND($H37*I37/100,0))</f>
        <v>1435</v>
      </c>
      <c r="M37" s="6" t="n">
        <f aca="false">IF(J37="","",ROUND($H37*J37/100,0))</f>
        <v>459</v>
      </c>
      <c r="N37" s="6" t="n">
        <f aca="false">IF(K37="","",ROUND($H37*K37/100,0))</f>
        <v>3846</v>
      </c>
      <c r="O37" s="7" t="n">
        <f aca="false">IF(K37="","",K37/100)</f>
        <v>0.67</v>
      </c>
    </row>
    <row r="38" customFormat="false" ht="15" hidden="false" customHeight="false" outlineLevel="0" collapsed="false">
      <c r="A38" s="6" t="n">
        <v>244</v>
      </c>
      <c r="B38" s="6" t="s">
        <v>61</v>
      </c>
      <c r="C38" s="6" t="s">
        <v>62</v>
      </c>
      <c r="D38" s="6" t="s">
        <v>63</v>
      </c>
      <c r="E38" s="6" t="n">
        <v>45</v>
      </c>
      <c r="F38" s="6" t="s">
        <v>60</v>
      </c>
      <c r="G38" s="6" t="n">
        <v>2012</v>
      </c>
      <c r="H38" s="6" t="n">
        <v>4801</v>
      </c>
      <c r="I38" s="6" t="n">
        <v>25</v>
      </c>
      <c r="J38" s="6" t="n">
        <v>9</v>
      </c>
      <c r="K38" s="6" t="n">
        <v>66</v>
      </c>
      <c r="L38" s="6" t="n">
        <f aca="false">IF(I38="","",ROUND($H38*I38/100,0))</f>
        <v>1200</v>
      </c>
      <c r="M38" s="6" t="n">
        <f aca="false">IF(J38="","",ROUND($H38*J38/100,0))</f>
        <v>432</v>
      </c>
      <c r="N38" s="6" t="n">
        <f aca="false">IF(K38="","",ROUND($H38*K38/100,0))</f>
        <v>3169</v>
      </c>
      <c r="O38" s="7" t="n">
        <f aca="false">IF(K38="","",K38/100)</f>
        <v>0.66</v>
      </c>
    </row>
    <row r="39" customFormat="false" ht="15" hidden="false" customHeight="false" outlineLevel="0" collapsed="false">
      <c r="A39" s="6" t="n">
        <v>244</v>
      </c>
      <c r="B39" s="6" t="s">
        <v>61</v>
      </c>
      <c r="C39" s="6" t="s">
        <v>62</v>
      </c>
      <c r="D39" s="6" t="s">
        <v>63</v>
      </c>
      <c r="E39" s="6" t="n">
        <v>45</v>
      </c>
      <c r="F39" s="6" t="s">
        <v>60</v>
      </c>
      <c r="G39" s="6" t="n">
        <v>2013</v>
      </c>
      <c r="H39" s="6" t="n">
        <v>5669</v>
      </c>
      <c r="I39" s="6" t="n">
        <v>27</v>
      </c>
      <c r="J39" s="6" t="n">
        <v>9</v>
      </c>
      <c r="K39" s="6" t="n">
        <v>64</v>
      </c>
      <c r="L39" s="6" t="n">
        <f aca="false">IF(I39="","",ROUND($H39*I39/100,0))</f>
        <v>1531</v>
      </c>
      <c r="M39" s="6" t="n">
        <f aca="false">IF(J39="","",ROUND($H39*J39/100,0))</f>
        <v>510</v>
      </c>
      <c r="N39" s="6" t="n">
        <f aca="false">IF(K39="","",ROUND($H39*K39/100,0))</f>
        <v>3628</v>
      </c>
      <c r="O39" s="7" t="n">
        <f aca="false">IF(K39="","",K39/100)</f>
        <v>0.64</v>
      </c>
    </row>
    <row r="40" customFormat="false" ht="15" hidden="false" customHeight="false" outlineLevel="0" collapsed="false">
      <c r="A40" s="6" t="n">
        <v>244</v>
      </c>
      <c r="B40" s="6" t="s">
        <v>61</v>
      </c>
      <c r="C40" s="6" t="s">
        <v>62</v>
      </c>
      <c r="D40" s="6" t="s">
        <v>63</v>
      </c>
      <c r="E40" s="6" t="n">
        <v>45</v>
      </c>
      <c r="F40" s="6" t="s">
        <v>60</v>
      </c>
      <c r="G40" s="6" t="n">
        <v>2014</v>
      </c>
      <c r="H40" s="6" t="n">
        <v>5781</v>
      </c>
      <c r="I40" s="6" t="n">
        <v>22</v>
      </c>
      <c r="J40" s="6" t="n">
        <v>9</v>
      </c>
      <c r="K40" s="6" t="n">
        <v>69</v>
      </c>
      <c r="L40" s="6" t="n">
        <f aca="false">IF(I40="","",ROUND($H40*I40/100,0))</f>
        <v>1272</v>
      </c>
      <c r="M40" s="6" t="n">
        <f aca="false">IF(J40="","",ROUND($H40*J40/100,0))</f>
        <v>520</v>
      </c>
      <c r="N40" s="6" t="n">
        <f aca="false">IF(K40="","",ROUND($H40*K40/100,0))</f>
        <v>3989</v>
      </c>
      <c r="O40" s="7" t="n">
        <f aca="false">IF(K40="","",K40/100)</f>
        <v>0.69</v>
      </c>
    </row>
    <row r="41" customFormat="false" ht="15" hidden="false" customHeight="false" outlineLevel="0" collapsed="false">
      <c r="A41" s="6" t="n">
        <v>244</v>
      </c>
      <c r="B41" s="6" t="s">
        <v>61</v>
      </c>
      <c r="C41" s="6" t="s">
        <v>62</v>
      </c>
      <c r="D41" s="6" t="s">
        <v>63</v>
      </c>
      <c r="E41" s="6" t="n">
        <v>45</v>
      </c>
      <c r="F41" s="6" t="s">
        <v>60</v>
      </c>
      <c r="G41" s="6" t="n">
        <v>2015</v>
      </c>
      <c r="H41" s="6" t="n">
        <v>6500</v>
      </c>
      <c r="I41" s="6" t="n">
        <v>23</v>
      </c>
      <c r="J41" s="6" t="n">
        <v>11</v>
      </c>
      <c r="K41" s="6" t="n">
        <v>66</v>
      </c>
      <c r="L41" s="6" t="n">
        <f aca="false">IF(I41="","",ROUND($H41*I41/100,0))</f>
        <v>1495</v>
      </c>
      <c r="M41" s="6" t="n">
        <f aca="false">IF(J41="","",ROUND($H41*J41/100,0))</f>
        <v>715</v>
      </c>
      <c r="N41" s="6" t="n">
        <f aca="false">IF(K41="","",ROUND($H41*K41/100,0))</f>
        <v>4290</v>
      </c>
      <c r="O41" s="7" t="n">
        <f aca="false">IF(K41="","",K41/100)</f>
        <v>0.66</v>
      </c>
    </row>
    <row r="42" customFormat="false" ht="15" hidden="false" customHeight="false" outlineLevel="0" collapsed="false">
      <c r="A42" s="6" t="n">
        <v>244</v>
      </c>
      <c r="B42" s="6" t="s">
        <v>61</v>
      </c>
      <c r="C42" s="6" t="s">
        <v>62</v>
      </c>
      <c r="D42" s="6" t="s">
        <v>63</v>
      </c>
      <c r="E42" s="6" t="n">
        <v>45</v>
      </c>
      <c r="F42" s="6" t="s">
        <v>60</v>
      </c>
      <c r="G42" s="6" t="n">
        <v>2016</v>
      </c>
      <c r="H42" s="6" t="n">
        <v>6220</v>
      </c>
      <c r="I42" s="6" t="n">
        <v>35</v>
      </c>
      <c r="J42" s="6" t="n">
        <v>10</v>
      </c>
      <c r="K42" s="6" t="n">
        <v>55</v>
      </c>
      <c r="L42" s="6" t="n">
        <f aca="false">IF(I42="","",ROUND($H42*I42/100,0))</f>
        <v>2177</v>
      </c>
      <c r="M42" s="6" t="n">
        <f aca="false">IF(J42="","",ROUND($H42*J42/100,0))</f>
        <v>622</v>
      </c>
      <c r="N42" s="6" t="n">
        <f aca="false">IF(K42="","",ROUND($H42*K42/100,0))</f>
        <v>3421</v>
      </c>
      <c r="O42" s="7" t="n">
        <f aca="false">IF(K42="","",K42/100)</f>
        <v>0.55</v>
      </c>
    </row>
    <row r="43" customFormat="false" ht="15" hidden="false" customHeight="false" outlineLevel="0" collapsed="false">
      <c r="A43" s="6" t="n">
        <v>244</v>
      </c>
      <c r="B43" s="6" t="s">
        <v>61</v>
      </c>
      <c r="C43" s="6" t="s">
        <v>62</v>
      </c>
      <c r="D43" s="6" t="s">
        <v>63</v>
      </c>
      <c r="E43" s="6" t="n">
        <v>45</v>
      </c>
      <c r="F43" s="6" t="s">
        <v>60</v>
      </c>
      <c r="G43" s="6" t="n">
        <v>2017</v>
      </c>
      <c r="H43" s="6" t="n">
        <v>6450</v>
      </c>
      <c r="I43" s="6" t="n">
        <v>33</v>
      </c>
      <c r="J43" s="6" t="n">
        <v>8</v>
      </c>
      <c r="K43" s="6" t="n">
        <v>59</v>
      </c>
      <c r="L43" s="6" t="n">
        <f aca="false">IF(I43="","",ROUND($H43*I43/100,0))</f>
        <v>2129</v>
      </c>
      <c r="M43" s="6" t="n">
        <f aca="false">IF(J43="","",ROUND($H43*J43/100,0))</f>
        <v>516</v>
      </c>
      <c r="N43" s="6" t="n">
        <f aca="false">IF(K43="","",ROUND($H43*K43/100,0))</f>
        <v>3806</v>
      </c>
      <c r="O43" s="7" t="n">
        <f aca="false">IF(K43="","",K43/100)</f>
        <v>0.59</v>
      </c>
    </row>
    <row r="44" customFormat="false" ht="15" hidden="false" customHeight="false" outlineLevel="0" collapsed="false">
      <c r="A44" s="6" t="n">
        <v>244</v>
      </c>
      <c r="B44" s="6" t="s">
        <v>61</v>
      </c>
      <c r="C44" s="6" t="s">
        <v>62</v>
      </c>
      <c r="D44" s="6" t="s">
        <v>63</v>
      </c>
      <c r="E44" s="6" t="n">
        <v>45</v>
      </c>
      <c r="F44" s="6" t="s">
        <v>60</v>
      </c>
      <c r="G44" s="6" t="n">
        <v>2018</v>
      </c>
      <c r="H44" s="6" t="n">
        <v>7535</v>
      </c>
      <c r="I44" s="6" t="n">
        <v>52</v>
      </c>
      <c r="J44" s="6" t="n">
        <v>4</v>
      </c>
      <c r="K44" s="6" t="n">
        <v>44</v>
      </c>
      <c r="L44" s="6" t="n">
        <f aca="false">IF(I44="","",ROUND($H44*I44/100,0))</f>
        <v>3918</v>
      </c>
      <c r="M44" s="6" t="n">
        <f aca="false">IF(J44="","",ROUND($H44*J44/100,0))</f>
        <v>301</v>
      </c>
      <c r="N44" s="6" t="n">
        <f aca="false">IF(K44="","",ROUND($H44*K44/100,0))</f>
        <v>3315</v>
      </c>
      <c r="O44" s="7" t="n">
        <f aca="false">IF(K44="","",K44/100)</f>
        <v>0.44</v>
      </c>
    </row>
    <row r="45" customFormat="false" ht="15" hidden="false" customHeight="false" outlineLevel="0" collapsed="false">
      <c r="A45" s="6" t="n">
        <v>245</v>
      </c>
      <c r="B45" s="6" t="s">
        <v>61</v>
      </c>
      <c r="C45" s="6" t="s">
        <v>64</v>
      </c>
      <c r="D45" s="6" t="s">
        <v>63</v>
      </c>
      <c r="E45" s="6" t="n">
        <v>5</v>
      </c>
      <c r="F45" s="6" t="s">
        <v>65</v>
      </c>
      <c r="G45" s="6" t="n">
        <v>1997</v>
      </c>
      <c r="H45" s="6" t="n">
        <v>12502</v>
      </c>
      <c r="I45" s="6" t="n">
        <v>85</v>
      </c>
      <c r="J45" s="6" t="n">
        <v>6</v>
      </c>
      <c r="K45" s="6" t="n">
        <v>9</v>
      </c>
      <c r="L45" s="6" t="n">
        <f aca="false">IF(I45="","",ROUND($H45*I45/100,0))</f>
        <v>10627</v>
      </c>
      <c r="M45" s="6" t="n">
        <f aca="false">IF(J45="","",ROUND($H45*J45/100,0))</f>
        <v>750</v>
      </c>
      <c r="N45" s="6" t="n">
        <f aca="false">IF(K45="","",ROUND($H45*K45/100,0))</f>
        <v>1125</v>
      </c>
      <c r="O45" s="7" t="n">
        <f aca="false">IF(K45="","",K45/100)</f>
        <v>0.09</v>
      </c>
    </row>
    <row r="46" customFormat="false" ht="15" hidden="false" customHeight="false" outlineLevel="0" collapsed="false">
      <c r="A46" s="6" t="n">
        <v>245</v>
      </c>
      <c r="B46" s="6" t="s">
        <v>61</v>
      </c>
      <c r="C46" s="6" t="s">
        <v>64</v>
      </c>
      <c r="D46" s="6" t="s">
        <v>63</v>
      </c>
      <c r="E46" s="6" t="n">
        <v>5</v>
      </c>
      <c r="F46" s="6" t="s">
        <v>65</v>
      </c>
      <c r="G46" s="6" t="n">
        <v>1998</v>
      </c>
      <c r="H46" s="6" t="n">
        <v>12896</v>
      </c>
      <c r="I46" s="6" t="n">
        <v>85</v>
      </c>
      <c r="J46" s="6" t="n">
        <v>6</v>
      </c>
      <c r="K46" s="6" t="n">
        <v>9</v>
      </c>
      <c r="L46" s="6" t="n">
        <f aca="false">IF(I46="","",ROUND($H46*I46/100,0))</f>
        <v>10962</v>
      </c>
      <c r="M46" s="6" t="n">
        <f aca="false">IF(J46="","",ROUND($H46*J46/100,0))</f>
        <v>774</v>
      </c>
      <c r="N46" s="6" t="n">
        <f aca="false">IF(K46="","",ROUND($H46*K46/100,0))</f>
        <v>1161</v>
      </c>
      <c r="O46" s="7" t="n">
        <f aca="false">IF(K46="","",K46/100)</f>
        <v>0.09</v>
      </c>
    </row>
    <row r="47" customFormat="false" ht="15" hidden="false" customHeight="false" outlineLevel="0" collapsed="false">
      <c r="A47" s="6" t="n">
        <v>245</v>
      </c>
      <c r="B47" s="6" t="s">
        <v>61</v>
      </c>
      <c r="C47" s="6" t="s">
        <v>64</v>
      </c>
      <c r="D47" s="6" t="s">
        <v>63</v>
      </c>
      <c r="E47" s="6" t="n">
        <v>5</v>
      </c>
      <c r="F47" s="6" t="s">
        <v>65</v>
      </c>
      <c r="G47" s="6" t="n">
        <v>1999</v>
      </c>
      <c r="H47" s="6" t="n">
        <v>12305</v>
      </c>
      <c r="I47" s="6" t="n">
        <v>86</v>
      </c>
      <c r="J47" s="6" t="n">
        <v>6</v>
      </c>
      <c r="K47" s="6" t="n">
        <v>8</v>
      </c>
      <c r="L47" s="6" t="n">
        <f aca="false">IF(I47="","",ROUND($H47*I47/100,0))</f>
        <v>10582</v>
      </c>
      <c r="M47" s="6" t="n">
        <f aca="false">IF(J47="","",ROUND($H47*J47/100,0))</f>
        <v>738</v>
      </c>
      <c r="N47" s="6" t="n">
        <f aca="false">IF(K47="","",ROUND($H47*K47/100,0))</f>
        <v>984</v>
      </c>
      <c r="O47" s="7" t="n">
        <f aca="false">IF(K47="","",K47/100)</f>
        <v>0.08</v>
      </c>
    </row>
    <row r="48" customFormat="false" ht="15" hidden="false" customHeight="false" outlineLevel="0" collapsed="false">
      <c r="A48" s="6" t="n">
        <v>245</v>
      </c>
      <c r="B48" s="6" t="s">
        <v>61</v>
      </c>
      <c r="C48" s="6" t="s">
        <v>64</v>
      </c>
      <c r="D48" s="6" t="s">
        <v>63</v>
      </c>
      <c r="E48" s="6" t="n">
        <v>5</v>
      </c>
      <c r="F48" s="6" t="s">
        <v>65</v>
      </c>
      <c r="G48" s="6" t="n">
        <v>2000</v>
      </c>
      <c r="H48" s="6" t="n">
        <v>11348</v>
      </c>
      <c r="I48" s="6" t="n">
        <v>82</v>
      </c>
      <c r="J48" s="6" t="n">
        <v>7</v>
      </c>
      <c r="K48" s="6" t="n">
        <v>11</v>
      </c>
      <c r="L48" s="6" t="n">
        <f aca="false">IF(I48="","",ROUND($H48*I48/100,0))</f>
        <v>9305</v>
      </c>
      <c r="M48" s="6" t="n">
        <f aca="false">IF(J48="","",ROUND($H48*J48/100,0))</f>
        <v>794</v>
      </c>
      <c r="N48" s="6" t="n">
        <f aca="false">IF(K48="","",ROUND($H48*K48/100,0))</f>
        <v>1248</v>
      </c>
      <c r="O48" s="7" t="n">
        <f aca="false">IF(K48="","",K48/100)</f>
        <v>0.11</v>
      </c>
    </row>
    <row r="49" customFormat="false" ht="15" hidden="false" customHeight="false" outlineLevel="0" collapsed="false">
      <c r="A49" s="6" t="n">
        <v>245</v>
      </c>
      <c r="B49" s="6" t="s">
        <v>61</v>
      </c>
      <c r="C49" s="6" t="s">
        <v>64</v>
      </c>
      <c r="D49" s="6" t="s">
        <v>63</v>
      </c>
      <c r="E49" s="6" t="n">
        <v>5</v>
      </c>
      <c r="F49" s="6" t="s">
        <v>65</v>
      </c>
      <c r="G49" s="6" t="n">
        <v>2001</v>
      </c>
      <c r="H49" s="6" t="n">
        <v>12358</v>
      </c>
      <c r="I49" s="6" t="n">
        <v>66</v>
      </c>
      <c r="J49" s="6" t="n">
        <v>22</v>
      </c>
      <c r="K49" s="6" t="n">
        <v>12</v>
      </c>
      <c r="L49" s="6" t="n">
        <f aca="false">IF(I49="","",ROUND($H49*I49/100,0))</f>
        <v>8156</v>
      </c>
      <c r="M49" s="6" t="n">
        <f aca="false">IF(J49="","",ROUND($H49*J49/100,0))</f>
        <v>2719</v>
      </c>
      <c r="N49" s="6" t="n">
        <f aca="false">IF(K49="","",ROUND($H49*K49/100,0))</f>
        <v>1483</v>
      </c>
      <c r="O49" s="7" t="n">
        <f aca="false">IF(K49="","",K49/100)</f>
        <v>0.12</v>
      </c>
    </row>
    <row r="50" customFormat="false" ht="15" hidden="false" customHeight="false" outlineLevel="0" collapsed="false">
      <c r="A50" s="6" t="n">
        <v>245</v>
      </c>
      <c r="B50" s="6" t="s">
        <v>61</v>
      </c>
      <c r="C50" s="6" t="s">
        <v>64</v>
      </c>
      <c r="D50" s="6" t="s">
        <v>63</v>
      </c>
      <c r="E50" s="6" t="n">
        <v>5</v>
      </c>
      <c r="F50" s="6" t="s">
        <v>65</v>
      </c>
      <c r="G50" s="6" t="n">
        <v>2002</v>
      </c>
      <c r="H50" s="6" t="n">
        <v>12434</v>
      </c>
      <c r="I50" s="6" t="n">
        <v>84</v>
      </c>
      <c r="J50" s="6" t="n">
        <v>7</v>
      </c>
      <c r="K50" s="6" t="n">
        <v>9</v>
      </c>
      <c r="L50" s="6" t="n">
        <f aca="false">IF(I50="","",ROUND($H50*I50/100,0))</f>
        <v>10445</v>
      </c>
      <c r="M50" s="6" t="n">
        <f aca="false">IF(J50="","",ROUND($H50*J50/100,0))</f>
        <v>870</v>
      </c>
      <c r="N50" s="6" t="n">
        <f aca="false">IF(K50="","",ROUND($H50*K50/100,0))</f>
        <v>1119</v>
      </c>
      <c r="O50" s="7" t="n">
        <f aca="false">IF(K50="","",K50/100)</f>
        <v>0.09</v>
      </c>
    </row>
    <row r="51" customFormat="false" ht="15" hidden="false" customHeight="false" outlineLevel="0" collapsed="false">
      <c r="A51" s="6" t="n">
        <v>245</v>
      </c>
      <c r="B51" s="6" t="s">
        <v>61</v>
      </c>
      <c r="C51" s="6" t="s">
        <v>64</v>
      </c>
      <c r="D51" s="6" t="s">
        <v>63</v>
      </c>
      <c r="E51" s="6" t="n">
        <v>5</v>
      </c>
      <c r="F51" s="6" t="s">
        <v>65</v>
      </c>
      <c r="G51" s="6" t="n">
        <v>2003</v>
      </c>
      <c r="H51" s="6" t="n">
        <v>14053</v>
      </c>
      <c r="I51" s="6"/>
      <c r="J51" s="6"/>
      <c r="K51" s="6"/>
      <c r="L51" s="6" t="str">
        <f aca="false">IF(I51="","",ROUND($H51*I51/100,0))</f>
        <v/>
      </c>
      <c r="M51" s="6" t="str">
        <f aca="false">IF(J51="","",ROUND($H51*J51/100,0))</f>
        <v/>
      </c>
      <c r="N51" s="6" t="str">
        <f aca="false">IF(K51="","",ROUND($H51*K51/100,0))</f>
        <v/>
      </c>
      <c r="O51" s="7" t="str">
        <f aca="false">IF(K51="","",K51/100)</f>
        <v/>
      </c>
    </row>
    <row r="52" customFormat="false" ht="15" hidden="false" customHeight="false" outlineLevel="0" collapsed="false">
      <c r="A52" s="6" t="n">
        <v>245</v>
      </c>
      <c r="B52" s="6" t="s">
        <v>61</v>
      </c>
      <c r="C52" s="6" t="s">
        <v>64</v>
      </c>
      <c r="D52" s="6" t="s">
        <v>63</v>
      </c>
      <c r="E52" s="6" t="n">
        <v>5</v>
      </c>
      <c r="F52" s="6" t="s">
        <v>65</v>
      </c>
      <c r="G52" s="6" t="n">
        <v>2004</v>
      </c>
      <c r="H52" s="6" t="n">
        <v>11276</v>
      </c>
      <c r="I52" s="6" t="n">
        <v>72</v>
      </c>
      <c r="J52" s="6" t="n">
        <v>16</v>
      </c>
      <c r="K52" s="6" t="n">
        <v>12</v>
      </c>
      <c r="L52" s="6" t="n">
        <f aca="false">IF(I52="","",ROUND($H52*I52/100,0))</f>
        <v>8119</v>
      </c>
      <c r="M52" s="6" t="n">
        <f aca="false">IF(J52="","",ROUND($H52*J52/100,0))</f>
        <v>1804</v>
      </c>
      <c r="N52" s="6" t="n">
        <f aca="false">IF(K52="","",ROUND($H52*K52/100,0))</f>
        <v>1353</v>
      </c>
      <c r="O52" s="7" t="n">
        <f aca="false">IF(K52="","",K52/100)</f>
        <v>0.12</v>
      </c>
    </row>
    <row r="53" customFormat="false" ht="15" hidden="false" customHeight="false" outlineLevel="0" collapsed="false">
      <c r="A53" s="6" t="n">
        <v>245</v>
      </c>
      <c r="B53" s="6" t="s">
        <v>61</v>
      </c>
      <c r="C53" s="6" t="s">
        <v>64</v>
      </c>
      <c r="D53" s="6" t="s">
        <v>63</v>
      </c>
      <c r="E53" s="6" t="n">
        <v>5</v>
      </c>
      <c r="F53" s="6" t="s">
        <v>65</v>
      </c>
      <c r="G53" s="6" t="n">
        <v>2005</v>
      </c>
      <c r="H53" s="6" t="n">
        <v>11474</v>
      </c>
      <c r="I53" s="6" t="n">
        <v>76</v>
      </c>
      <c r="J53" s="6" t="n">
        <v>15</v>
      </c>
      <c r="K53" s="6" t="n">
        <v>9</v>
      </c>
      <c r="L53" s="6" t="n">
        <f aca="false">IF(I53="","",ROUND($H53*I53/100,0))</f>
        <v>8720</v>
      </c>
      <c r="M53" s="6" t="n">
        <f aca="false">IF(J53="","",ROUND($H53*J53/100,0))</f>
        <v>1721</v>
      </c>
      <c r="N53" s="6" t="n">
        <f aca="false">IF(K53="","",ROUND($H53*K53/100,0))</f>
        <v>1033</v>
      </c>
      <c r="O53" s="7" t="n">
        <f aca="false">IF(K53="","",K53/100)</f>
        <v>0.09</v>
      </c>
    </row>
    <row r="54" customFormat="false" ht="15" hidden="false" customHeight="false" outlineLevel="0" collapsed="false">
      <c r="A54" s="6" t="n">
        <v>245</v>
      </c>
      <c r="B54" s="6" t="s">
        <v>61</v>
      </c>
      <c r="C54" s="6" t="s">
        <v>64</v>
      </c>
      <c r="D54" s="6" t="s">
        <v>63</v>
      </c>
      <c r="E54" s="6" t="n">
        <v>5</v>
      </c>
      <c r="F54" s="6" t="s">
        <v>65</v>
      </c>
      <c r="G54" s="6" t="n">
        <v>2006</v>
      </c>
      <c r="H54" s="6" t="n">
        <v>9925</v>
      </c>
      <c r="I54" s="6" t="n">
        <v>76</v>
      </c>
      <c r="J54" s="6" t="n">
        <v>13</v>
      </c>
      <c r="K54" s="6" t="n">
        <v>11</v>
      </c>
      <c r="L54" s="6" t="n">
        <f aca="false">IF(I54="","",ROUND($H54*I54/100,0))</f>
        <v>7543</v>
      </c>
      <c r="M54" s="6" t="n">
        <f aca="false">IF(J54="","",ROUND($H54*J54/100,0))</f>
        <v>1290</v>
      </c>
      <c r="N54" s="6" t="n">
        <f aca="false">IF(K54="","",ROUND($H54*K54/100,0))</f>
        <v>1092</v>
      </c>
      <c r="O54" s="7" t="n">
        <f aca="false">IF(K54="","",K54/100)</f>
        <v>0.11</v>
      </c>
    </row>
    <row r="55" customFormat="false" ht="15" hidden="false" customHeight="false" outlineLevel="0" collapsed="false">
      <c r="A55" s="6" t="n">
        <v>245</v>
      </c>
      <c r="B55" s="6" t="s">
        <v>61</v>
      </c>
      <c r="C55" s="6" t="s">
        <v>64</v>
      </c>
      <c r="D55" s="6" t="s">
        <v>63</v>
      </c>
      <c r="E55" s="6" t="n">
        <v>5</v>
      </c>
      <c r="F55" s="6" t="s">
        <v>65</v>
      </c>
      <c r="G55" s="6" t="n">
        <v>2007</v>
      </c>
      <c r="H55" s="6" t="n">
        <v>16348</v>
      </c>
      <c r="I55" s="6" t="n">
        <v>74</v>
      </c>
      <c r="J55" s="6" t="n">
        <v>16</v>
      </c>
      <c r="K55" s="6" t="n">
        <v>10</v>
      </c>
      <c r="L55" s="6" t="n">
        <f aca="false">IF(I55="","",ROUND($H55*I55/100,0))</f>
        <v>12098</v>
      </c>
      <c r="M55" s="6" t="n">
        <f aca="false">IF(J55="","",ROUND($H55*J55/100,0))</f>
        <v>2616</v>
      </c>
      <c r="N55" s="6" t="n">
        <f aca="false">IF(K55="","",ROUND($H55*K55/100,0))</f>
        <v>1635</v>
      </c>
      <c r="O55" s="7" t="n">
        <f aca="false">IF(K55="","",K55/100)</f>
        <v>0.1</v>
      </c>
    </row>
    <row r="56" customFormat="false" ht="15" hidden="false" customHeight="false" outlineLevel="0" collapsed="false">
      <c r="A56" s="6" t="n">
        <v>245</v>
      </c>
      <c r="B56" s="6" t="s">
        <v>61</v>
      </c>
      <c r="C56" s="6" t="s">
        <v>64</v>
      </c>
      <c r="D56" s="6" t="s">
        <v>63</v>
      </c>
      <c r="E56" s="6" t="n">
        <v>5</v>
      </c>
      <c r="F56" s="6" t="s">
        <v>65</v>
      </c>
      <c r="G56" s="6" t="n">
        <v>2008</v>
      </c>
      <c r="H56" s="6" t="n">
        <v>11412</v>
      </c>
      <c r="I56" s="6" t="n">
        <v>75</v>
      </c>
      <c r="J56" s="6" t="n">
        <v>16</v>
      </c>
      <c r="K56" s="6" t="n">
        <v>9</v>
      </c>
      <c r="L56" s="6" t="n">
        <f aca="false">IF(I56="","",ROUND($H56*I56/100,0))</f>
        <v>8559</v>
      </c>
      <c r="M56" s="6" t="n">
        <f aca="false">IF(J56="","",ROUND($H56*J56/100,0))</f>
        <v>1826</v>
      </c>
      <c r="N56" s="6" t="n">
        <f aca="false">IF(K56="","",ROUND($H56*K56/100,0))</f>
        <v>1027</v>
      </c>
      <c r="O56" s="7" t="n">
        <f aca="false">IF(K56="","",K56/100)</f>
        <v>0.09</v>
      </c>
    </row>
    <row r="57" customFormat="false" ht="15" hidden="false" customHeight="false" outlineLevel="0" collapsed="false">
      <c r="A57" s="6" t="n">
        <v>245</v>
      </c>
      <c r="B57" s="6" t="s">
        <v>61</v>
      </c>
      <c r="C57" s="6" t="s">
        <v>64</v>
      </c>
      <c r="D57" s="6" t="s">
        <v>63</v>
      </c>
      <c r="E57" s="6" t="n">
        <v>5</v>
      </c>
      <c r="F57" s="6" t="s">
        <v>65</v>
      </c>
      <c r="G57" s="6" t="n">
        <v>2009</v>
      </c>
      <c r="H57" s="6" t="n">
        <v>10821</v>
      </c>
      <c r="I57" s="6" t="n">
        <v>82</v>
      </c>
      <c r="J57" s="6" t="n">
        <v>10</v>
      </c>
      <c r="K57" s="6" t="n">
        <v>8</v>
      </c>
      <c r="L57" s="6" t="n">
        <f aca="false">IF(I57="","",ROUND($H57*I57/100,0))</f>
        <v>8873</v>
      </c>
      <c r="M57" s="6" t="n">
        <f aca="false">IF(J57="","",ROUND($H57*J57/100,0))</f>
        <v>1082</v>
      </c>
      <c r="N57" s="6" t="n">
        <f aca="false">IF(K57="","",ROUND($H57*K57/100,0))</f>
        <v>866</v>
      </c>
      <c r="O57" s="7" t="n">
        <f aca="false">IF(K57="","",K57/100)</f>
        <v>0.08</v>
      </c>
    </row>
    <row r="58" customFormat="false" ht="15" hidden="false" customHeight="false" outlineLevel="0" collapsed="false">
      <c r="A58" s="6" t="n">
        <v>245</v>
      </c>
      <c r="B58" s="6" t="s">
        <v>61</v>
      </c>
      <c r="C58" s="6" t="s">
        <v>64</v>
      </c>
      <c r="D58" s="6" t="s">
        <v>63</v>
      </c>
      <c r="E58" s="6" t="n">
        <v>5</v>
      </c>
      <c r="F58" s="6" t="s">
        <v>65</v>
      </c>
      <c r="G58" s="6" t="n">
        <v>2010</v>
      </c>
      <c r="H58" s="6" t="n">
        <v>11283</v>
      </c>
      <c r="I58" s="6" t="n">
        <v>76</v>
      </c>
      <c r="J58" s="6" t="n">
        <v>17</v>
      </c>
      <c r="K58" s="6" t="n">
        <v>7</v>
      </c>
      <c r="L58" s="6" t="n">
        <f aca="false">IF(I58="","",ROUND($H58*I58/100,0))</f>
        <v>8575</v>
      </c>
      <c r="M58" s="6" t="n">
        <f aca="false">IF(J58="","",ROUND($H58*J58/100,0))</f>
        <v>1918</v>
      </c>
      <c r="N58" s="6" t="n">
        <f aca="false">IF(K58="","",ROUND($H58*K58/100,0))</f>
        <v>790</v>
      </c>
      <c r="O58" s="7" t="n">
        <f aca="false">IF(K58="","",K58/100)</f>
        <v>0.07</v>
      </c>
    </row>
    <row r="59" customFormat="false" ht="15" hidden="false" customHeight="false" outlineLevel="0" collapsed="false">
      <c r="A59" s="6" t="n">
        <v>245</v>
      </c>
      <c r="B59" s="6" t="s">
        <v>61</v>
      </c>
      <c r="C59" s="6" t="s">
        <v>64</v>
      </c>
      <c r="D59" s="6" t="s">
        <v>63</v>
      </c>
      <c r="E59" s="6" t="n">
        <v>5</v>
      </c>
      <c r="F59" s="6" t="s">
        <v>65</v>
      </c>
      <c r="G59" s="6" t="n">
        <v>2011</v>
      </c>
      <c r="H59" s="6" t="n">
        <v>12347</v>
      </c>
      <c r="I59" s="6" t="n">
        <v>74</v>
      </c>
      <c r="J59" s="6" t="n">
        <v>19</v>
      </c>
      <c r="K59" s="6" t="n">
        <v>7</v>
      </c>
      <c r="L59" s="6" t="n">
        <f aca="false">IF(I59="","",ROUND($H59*I59/100,0))</f>
        <v>9137</v>
      </c>
      <c r="M59" s="6" t="n">
        <f aca="false">IF(J59="","",ROUND($H59*J59/100,0))</f>
        <v>2346</v>
      </c>
      <c r="N59" s="6" t="n">
        <f aca="false">IF(K59="","",ROUND($H59*K59/100,0))</f>
        <v>864</v>
      </c>
      <c r="O59" s="7" t="n">
        <f aca="false">IF(K59="","",K59/100)</f>
        <v>0.07</v>
      </c>
    </row>
    <row r="60" customFormat="false" ht="15" hidden="false" customHeight="false" outlineLevel="0" collapsed="false">
      <c r="A60" s="6" t="n">
        <v>245</v>
      </c>
      <c r="B60" s="6" t="s">
        <v>61</v>
      </c>
      <c r="C60" s="6" t="s">
        <v>64</v>
      </c>
      <c r="D60" s="6" t="s">
        <v>63</v>
      </c>
      <c r="E60" s="6" t="n">
        <v>5</v>
      </c>
      <c r="F60" s="6" t="s">
        <v>65</v>
      </c>
      <c r="G60" s="6" t="n">
        <v>2012</v>
      </c>
      <c r="H60" s="6" t="n">
        <v>10679</v>
      </c>
      <c r="I60" s="6" t="n">
        <v>71</v>
      </c>
      <c r="J60" s="6" t="n">
        <v>20</v>
      </c>
      <c r="K60" s="6" t="n">
        <v>9</v>
      </c>
      <c r="L60" s="6" t="n">
        <f aca="false">IF(I60="","",ROUND($H60*I60/100,0))</f>
        <v>7582</v>
      </c>
      <c r="M60" s="6" t="n">
        <f aca="false">IF(J60="","",ROUND($H60*J60/100,0))</f>
        <v>2136</v>
      </c>
      <c r="N60" s="6" t="n">
        <f aca="false">IF(K60="","",ROUND($H60*K60/100,0))</f>
        <v>961</v>
      </c>
      <c r="O60" s="7" t="n">
        <f aca="false">IF(K60="","",K60/100)</f>
        <v>0.09</v>
      </c>
    </row>
    <row r="61" customFormat="false" ht="15" hidden="false" customHeight="false" outlineLevel="0" collapsed="false">
      <c r="A61" s="6" t="n">
        <v>245</v>
      </c>
      <c r="B61" s="6" t="s">
        <v>61</v>
      </c>
      <c r="C61" s="6" t="s">
        <v>64</v>
      </c>
      <c r="D61" s="6" t="s">
        <v>63</v>
      </c>
      <c r="E61" s="6" t="n">
        <v>5</v>
      </c>
      <c r="F61" s="6" t="s">
        <v>65</v>
      </c>
      <c r="G61" s="6" t="n">
        <v>2013</v>
      </c>
      <c r="H61" s="6" t="n">
        <v>10976</v>
      </c>
      <c r="I61" s="6" t="n">
        <v>68</v>
      </c>
      <c r="J61" s="6" t="n">
        <v>24</v>
      </c>
      <c r="K61" s="6" t="n">
        <v>8</v>
      </c>
      <c r="L61" s="6" t="n">
        <f aca="false">IF(I61="","",ROUND($H61*I61/100,0))</f>
        <v>7464</v>
      </c>
      <c r="M61" s="6" t="n">
        <f aca="false">IF(J61="","",ROUND($H61*J61/100,0))</f>
        <v>2634</v>
      </c>
      <c r="N61" s="6" t="n">
        <f aca="false">IF(K61="","",ROUND($H61*K61/100,0))</f>
        <v>878</v>
      </c>
      <c r="O61" s="7" t="n">
        <f aca="false">IF(K61="","",K61/100)</f>
        <v>0.08</v>
      </c>
    </row>
    <row r="62" customFormat="false" ht="15" hidden="false" customHeight="false" outlineLevel="0" collapsed="false">
      <c r="A62" s="6" t="n">
        <v>245</v>
      </c>
      <c r="B62" s="6" t="s">
        <v>61</v>
      </c>
      <c r="C62" s="6" t="s">
        <v>64</v>
      </c>
      <c r="D62" s="6" t="s">
        <v>63</v>
      </c>
      <c r="E62" s="6" t="n">
        <v>5</v>
      </c>
      <c r="F62" s="6" t="s">
        <v>65</v>
      </c>
      <c r="G62" s="6" t="n">
        <v>2014</v>
      </c>
      <c r="H62" s="6" t="n">
        <v>9785</v>
      </c>
      <c r="I62" s="6" t="n">
        <v>73</v>
      </c>
      <c r="J62" s="6" t="n">
        <v>19</v>
      </c>
      <c r="K62" s="6" t="n">
        <v>8</v>
      </c>
      <c r="L62" s="6" t="n">
        <f aca="false">IF(I62="","",ROUND($H62*I62/100,0))</f>
        <v>7143</v>
      </c>
      <c r="M62" s="6" t="n">
        <f aca="false">IF(J62="","",ROUND($H62*J62/100,0))</f>
        <v>1859</v>
      </c>
      <c r="N62" s="6" t="n">
        <f aca="false">IF(K62="","",ROUND($H62*K62/100,0))</f>
        <v>783</v>
      </c>
      <c r="O62" s="7" t="n">
        <f aca="false">IF(K62="","",K62/100)</f>
        <v>0.08</v>
      </c>
    </row>
    <row r="63" customFormat="false" ht="15" hidden="false" customHeight="false" outlineLevel="0" collapsed="false">
      <c r="A63" s="6" t="n">
        <v>245</v>
      </c>
      <c r="B63" s="6" t="s">
        <v>61</v>
      </c>
      <c r="C63" s="6" t="s">
        <v>64</v>
      </c>
      <c r="D63" s="6" t="s">
        <v>63</v>
      </c>
      <c r="E63" s="6" t="n">
        <v>5</v>
      </c>
      <c r="F63" s="6" t="s">
        <v>65</v>
      </c>
      <c r="G63" s="6" t="n">
        <v>2015</v>
      </c>
      <c r="H63" s="6" t="n">
        <v>11084</v>
      </c>
      <c r="I63" s="6" t="n">
        <v>71</v>
      </c>
      <c r="J63" s="6" t="n">
        <v>21</v>
      </c>
      <c r="K63" s="6" t="n">
        <v>8</v>
      </c>
      <c r="L63" s="6" t="n">
        <f aca="false">IF(I63="","",ROUND($H63*I63/100,0))</f>
        <v>7870</v>
      </c>
      <c r="M63" s="6" t="n">
        <f aca="false">IF(J63="","",ROUND($H63*J63/100,0))</f>
        <v>2328</v>
      </c>
      <c r="N63" s="6" t="n">
        <f aca="false">IF(K63="","",ROUND($H63*K63/100,0))</f>
        <v>887</v>
      </c>
      <c r="O63" s="7" t="n">
        <f aca="false">IF(K63="","",K63/100)</f>
        <v>0.08</v>
      </c>
    </row>
    <row r="64" customFormat="false" ht="15" hidden="false" customHeight="false" outlineLevel="0" collapsed="false">
      <c r="A64" s="6" t="n">
        <v>245</v>
      </c>
      <c r="B64" s="6" t="s">
        <v>61</v>
      </c>
      <c r="C64" s="6" t="s">
        <v>64</v>
      </c>
      <c r="D64" s="6" t="s">
        <v>63</v>
      </c>
      <c r="E64" s="6" t="n">
        <v>5</v>
      </c>
      <c r="F64" s="6" t="s">
        <v>65</v>
      </c>
      <c r="G64" s="6" t="n">
        <v>2016</v>
      </c>
      <c r="H64" s="6" t="n">
        <v>11291</v>
      </c>
      <c r="I64" s="6" t="n">
        <v>71</v>
      </c>
      <c r="J64" s="6" t="n">
        <v>21</v>
      </c>
      <c r="K64" s="6" t="n">
        <v>8</v>
      </c>
      <c r="L64" s="6" t="n">
        <f aca="false">IF(I64="","",ROUND($H64*I64/100,0))</f>
        <v>8017</v>
      </c>
      <c r="M64" s="6" t="n">
        <f aca="false">IF(J64="","",ROUND($H64*J64/100,0))</f>
        <v>2371</v>
      </c>
      <c r="N64" s="6" t="n">
        <f aca="false">IF(K64="","",ROUND($H64*K64/100,0))</f>
        <v>903</v>
      </c>
      <c r="O64" s="7" t="n">
        <f aca="false">IF(K64="","",K64/100)</f>
        <v>0.08</v>
      </c>
    </row>
    <row r="65" customFormat="false" ht="15" hidden="false" customHeight="false" outlineLevel="0" collapsed="false">
      <c r="A65" s="6" t="n">
        <v>245</v>
      </c>
      <c r="B65" s="6" t="s">
        <v>61</v>
      </c>
      <c r="C65" s="6" t="s">
        <v>64</v>
      </c>
      <c r="D65" s="6" t="s">
        <v>63</v>
      </c>
      <c r="E65" s="6" t="n">
        <v>5</v>
      </c>
      <c r="F65" s="6" t="s">
        <v>65</v>
      </c>
      <c r="G65" s="6" t="n">
        <v>2017</v>
      </c>
      <c r="H65" s="6" t="n">
        <v>11977</v>
      </c>
      <c r="I65" s="6" t="n">
        <v>72</v>
      </c>
      <c r="J65" s="6" t="n">
        <v>20</v>
      </c>
      <c r="K65" s="6" t="n">
        <v>8</v>
      </c>
      <c r="L65" s="6" t="n">
        <f aca="false">IF(I65="","",ROUND($H65*I65/100,0))</f>
        <v>8623</v>
      </c>
      <c r="M65" s="6" t="n">
        <f aca="false">IF(J65="","",ROUND($H65*J65/100,0))</f>
        <v>2395</v>
      </c>
      <c r="N65" s="6" t="n">
        <f aca="false">IF(K65="","",ROUND($H65*K65/100,0))</f>
        <v>958</v>
      </c>
      <c r="O65" s="7" t="n">
        <f aca="false">IF(K65="","",K65/100)</f>
        <v>0.08</v>
      </c>
    </row>
    <row r="66" customFormat="false" ht="15" hidden="false" customHeight="false" outlineLevel="0" collapsed="false">
      <c r="A66" s="6" t="n">
        <v>245</v>
      </c>
      <c r="B66" s="6" t="s">
        <v>61</v>
      </c>
      <c r="C66" s="6" t="s">
        <v>64</v>
      </c>
      <c r="D66" s="6" t="s">
        <v>63</v>
      </c>
      <c r="E66" s="6" t="n">
        <v>5</v>
      </c>
      <c r="F66" s="6" t="s">
        <v>65</v>
      </c>
      <c r="G66" s="6" t="n">
        <v>2018</v>
      </c>
      <c r="H66" s="6" t="n">
        <v>13519</v>
      </c>
      <c r="I66" s="6" t="n">
        <v>78</v>
      </c>
      <c r="J66" s="6" t="n">
        <v>14</v>
      </c>
      <c r="K66" s="6" t="n">
        <v>8</v>
      </c>
      <c r="L66" s="6" t="n">
        <f aca="false">IF(I66="","",ROUND($H66*I66/100,0))</f>
        <v>10545</v>
      </c>
      <c r="M66" s="6" t="n">
        <f aca="false">IF(J66="","",ROUND($H66*J66/100,0))</f>
        <v>1893</v>
      </c>
      <c r="N66" s="6" t="n">
        <f aca="false">IF(K66="","",ROUND($H66*K66/100,0))</f>
        <v>1082</v>
      </c>
      <c r="O66" s="7" t="n">
        <f aca="false">IF(K66="","",K66/100)</f>
        <v>0.08</v>
      </c>
    </row>
    <row r="68" customFormat="false" ht="15" hidden="false" customHeight="false" outlineLevel="0" collapsed="false">
      <c r="A68" s="8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9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30" hidden="false" customHeight="true" outlineLevel="0" collapsed="false">
      <c r="A4" s="5" t="s">
        <v>69</v>
      </c>
      <c r="B4" s="5" t="s">
        <v>70</v>
      </c>
      <c r="C4" s="5" t="s">
        <v>71</v>
      </c>
      <c r="D4" s="5" t="s">
        <v>72</v>
      </c>
      <c r="E4" s="5" t="s">
        <v>73</v>
      </c>
      <c r="F4" s="5" t="s">
        <v>74</v>
      </c>
      <c r="G4" s="5" t="s">
        <v>50</v>
      </c>
      <c r="H4" s="5" t="s">
        <v>54</v>
      </c>
      <c r="I4" s="5" t="s">
        <v>56</v>
      </c>
      <c r="J4" s="5" t="s">
        <v>57</v>
      </c>
    </row>
    <row r="5" customFormat="false" ht="15" hidden="false" customHeight="false" outlineLevel="0" collapsed="false">
      <c r="A5" s="6" t="s">
        <v>75</v>
      </c>
      <c r="B5" s="6" t="n">
        <v>31</v>
      </c>
      <c r="C5" s="6" t="n">
        <f aca="false">SUM(D5:F5)</f>
        <v>242199</v>
      </c>
      <c r="D5" s="6" t="n">
        <v>122012</v>
      </c>
      <c r="E5" s="6" t="n">
        <v>59954</v>
      </c>
      <c r="F5" s="6" t="n">
        <v>60233</v>
      </c>
      <c r="G5" s="6" t="n">
        <f aca="false">ROUND(C5/B5,0)</f>
        <v>7813</v>
      </c>
      <c r="H5" s="6" t="n">
        <f aca="false">ROUND(D5/B5,0)</f>
        <v>3936</v>
      </c>
      <c r="I5" s="6" t="n">
        <f aca="false">ROUND(F5/B5,0)</f>
        <v>1943</v>
      </c>
      <c r="J5" s="7" t="n">
        <f aca="false">F5/C5</f>
        <v>0.248692191132086</v>
      </c>
    </row>
    <row r="6" customFormat="false" ht="15" hidden="false" customHeight="false" outlineLevel="0" collapsed="false">
      <c r="A6" s="6" t="s">
        <v>76</v>
      </c>
      <c r="B6" s="6" t="n">
        <v>28</v>
      </c>
      <c r="C6" s="6" t="n">
        <f aca="false">SUM(D6:F6)</f>
        <v>157619</v>
      </c>
      <c r="D6" s="6" t="n">
        <v>42295</v>
      </c>
      <c r="E6" s="6" t="n">
        <v>55983</v>
      </c>
      <c r="F6" s="6" t="n">
        <v>59341</v>
      </c>
      <c r="G6" s="6" t="n">
        <f aca="false">ROUND(C6/B6,0)</f>
        <v>5629</v>
      </c>
      <c r="H6" s="6" t="n">
        <f aca="false">ROUND(D6/B6,0)</f>
        <v>1511</v>
      </c>
      <c r="I6" s="6" t="n">
        <f aca="false">ROUND(F6/B6,0)</f>
        <v>2119</v>
      </c>
      <c r="J6" s="7" t="n">
        <f aca="false">F6/C6</f>
        <v>0.376483799541933</v>
      </c>
    </row>
    <row r="7" customFormat="false" ht="15" hidden="false" customHeight="false" outlineLevel="0" collapsed="false">
      <c r="A7" s="6" t="s">
        <v>77</v>
      </c>
      <c r="B7" s="6" t="n">
        <v>31</v>
      </c>
      <c r="C7" s="6" t="n">
        <f aca="false">SUM(D7:F7)</f>
        <v>168022</v>
      </c>
      <c r="D7" s="6" t="n">
        <v>49724</v>
      </c>
      <c r="E7" s="6" t="n">
        <v>59963</v>
      </c>
      <c r="F7" s="6" t="n">
        <v>58335</v>
      </c>
      <c r="G7" s="6" t="n">
        <f aca="false">ROUND(C7/B7,0)</f>
        <v>5420</v>
      </c>
      <c r="H7" s="6" t="n">
        <f aca="false">ROUND(D7/B7,0)</f>
        <v>1604</v>
      </c>
      <c r="I7" s="6" t="n">
        <f aca="false">ROUND(F7/B7,0)</f>
        <v>1882</v>
      </c>
      <c r="J7" s="7" t="n">
        <f aca="false">F7/C7</f>
        <v>0.347186677935032</v>
      </c>
    </row>
    <row r="8" customFormat="false" ht="15" hidden="false" customHeight="false" outlineLevel="0" collapsed="false">
      <c r="A8" s="6" t="s">
        <v>78</v>
      </c>
      <c r="B8" s="6" t="n">
        <v>30</v>
      </c>
      <c r="C8" s="6" t="n">
        <f aca="false">SUM(D8:F8)</f>
        <v>197595</v>
      </c>
      <c r="D8" s="6" t="n">
        <v>81489</v>
      </c>
      <c r="E8" s="6" t="n">
        <v>59157</v>
      </c>
      <c r="F8" s="6" t="n">
        <v>56949</v>
      </c>
      <c r="G8" s="6" t="n">
        <f aca="false">ROUND(C8/B8,0)</f>
        <v>6587</v>
      </c>
      <c r="H8" s="6" t="n">
        <f aca="false">ROUND(D8/B8,0)</f>
        <v>2716</v>
      </c>
      <c r="I8" s="6" t="n">
        <f aca="false">ROUND(F8/B8,0)</f>
        <v>1898</v>
      </c>
      <c r="J8" s="7" t="n">
        <f aca="false">F8/C8</f>
        <v>0.288210734077279</v>
      </c>
    </row>
    <row r="9" customFormat="false" ht="15" hidden="false" customHeight="false" outlineLevel="0" collapsed="false">
      <c r="A9" s="6" t="s">
        <v>79</v>
      </c>
      <c r="B9" s="6" t="n">
        <v>31</v>
      </c>
      <c r="C9" s="6" t="n">
        <f aca="false">SUM(D9:F9)</f>
        <v>174712</v>
      </c>
      <c r="D9" s="6" t="n">
        <v>44609</v>
      </c>
      <c r="E9" s="6" t="n">
        <v>64697</v>
      </c>
      <c r="F9" s="6" t="n">
        <v>65406</v>
      </c>
      <c r="G9" s="6" t="n">
        <f aca="false">ROUND(C9/B9,0)</f>
        <v>5636</v>
      </c>
      <c r="H9" s="6" t="n">
        <f aca="false">ROUND(D9/B9,0)</f>
        <v>1439</v>
      </c>
      <c r="I9" s="6" t="n">
        <f aca="false">ROUND(F9/B9,0)</f>
        <v>2110</v>
      </c>
      <c r="J9" s="7" t="n">
        <f aca="false">F9/C9</f>
        <v>0.374364668711937</v>
      </c>
    </row>
    <row r="10" customFormat="false" ht="15" hidden="false" customHeight="false" outlineLevel="0" collapsed="false">
      <c r="A10" s="6" t="s">
        <v>80</v>
      </c>
      <c r="B10" s="6" t="n">
        <v>30</v>
      </c>
      <c r="C10" s="6" t="n">
        <f aca="false">SUM(D10:F10)</f>
        <v>191348</v>
      </c>
      <c r="D10" s="6" t="n">
        <v>70004</v>
      </c>
      <c r="E10" s="6" t="n">
        <v>60007</v>
      </c>
      <c r="F10" s="6" t="n">
        <v>61337</v>
      </c>
      <c r="G10" s="6" t="n">
        <f aca="false">ROUND(C10/B10,0)</f>
        <v>6378</v>
      </c>
      <c r="H10" s="6" t="n">
        <f aca="false">ROUND(D10/B10,0)</f>
        <v>2333</v>
      </c>
      <c r="I10" s="6" t="n">
        <f aca="false">ROUND(F10/B10,0)</f>
        <v>2045</v>
      </c>
      <c r="J10" s="7" t="n">
        <f aca="false">F10/C10</f>
        <v>0.32055208311558</v>
      </c>
    </row>
    <row r="11" customFormat="false" ht="15" hidden="false" customHeight="false" outlineLevel="0" collapsed="false">
      <c r="A11" s="6" t="s">
        <v>81</v>
      </c>
      <c r="B11" s="6" t="n">
        <v>31</v>
      </c>
      <c r="C11" s="6" t="n">
        <f aca="false">SUM(D11:F11)</f>
        <v>195836</v>
      </c>
      <c r="D11" s="6" t="n">
        <v>64775</v>
      </c>
      <c r="E11" s="6" t="n">
        <v>63861</v>
      </c>
      <c r="F11" s="6" t="n">
        <v>67200</v>
      </c>
      <c r="G11" s="6" t="n">
        <f aca="false">ROUND(C11/B11,0)</f>
        <v>6317</v>
      </c>
      <c r="H11" s="6" t="n">
        <f aca="false">ROUND(D11/B11,0)</f>
        <v>2090</v>
      </c>
      <c r="I11" s="6" t="n">
        <f aca="false">ROUND(F11/B11,0)</f>
        <v>2168</v>
      </c>
      <c r="J11" s="7" t="n">
        <f aca="false">F11/C11</f>
        <v>0.343144263567475</v>
      </c>
    </row>
    <row r="12" customFormat="false" ht="15" hidden="false" customHeight="false" outlineLevel="0" collapsed="false">
      <c r="A12" s="6" t="s">
        <v>82</v>
      </c>
      <c r="B12" s="6" t="n">
        <v>31</v>
      </c>
      <c r="C12" s="6" t="n">
        <f aca="false">SUM(D12:F12)</f>
        <v>193454</v>
      </c>
      <c r="D12" s="6" t="n">
        <v>62225</v>
      </c>
      <c r="E12" s="6" t="n">
        <v>64549</v>
      </c>
      <c r="F12" s="6" t="n">
        <v>66680</v>
      </c>
      <c r="G12" s="6" t="n">
        <f aca="false">ROUND(C12/B12,0)</f>
        <v>6240</v>
      </c>
      <c r="H12" s="6" t="n">
        <f aca="false">ROUND(D12/B12,0)</f>
        <v>2007</v>
      </c>
      <c r="I12" s="6" t="n">
        <f aca="false">ROUND(F12/B12,0)</f>
        <v>2151</v>
      </c>
      <c r="J12" s="7" t="n">
        <f aca="false">F12/C12</f>
        <v>0.344681422973937</v>
      </c>
    </row>
    <row r="13" customFormat="false" ht="15" hidden="false" customHeight="false" outlineLevel="0" collapsed="false">
      <c r="A13" s="6" t="s">
        <v>83</v>
      </c>
      <c r="B13" s="6" t="n">
        <v>30</v>
      </c>
      <c r="C13" s="6" t="n">
        <f aca="false">SUM(D13:F13)</f>
        <v>180502</v>
      </c>
      <c r="D13" s="6" t="n">
        <v>48275</v>
      </c>
      <c r="E13" s="6" t="n">
        <v>62857</v>
      </c>
      <c r="F13" s="6" t="n">
        <v>69370</v>
      </c>
      <c r="G13" s="6" t="n">
        <f aca="false">ROUND(C13/B13,0)</f>
        <v>6017</v>
      </c>
      <c r="H13" s="6" t="n">
        <f aca="false">ROUND(D13/B13,0)</f>
        <v>1609</v>
      </c>
      <c r="I13" s="6" t="n">
        <f aca="false">ROUND(F13/B13,0)</f>
        <v>2312</v>
      </c>
      <c r="J13" s="7" t="n">
        <f aca="false">F13/C13</f>
        <v>0.384317071278989</v>
      </c>
    </row>
    <row r="14" customFormat="false" ht="15" hidden="false" customHeight="false" outlineLevel="0" collapsed="false">
      <c r="A14" s="6" t="s">
        <v>84</v>
      </c>
      <c r="B14" s="6" t="n">
        <v>31</v>
      </c>
      <c r="C14" s="6" t="n">
        <f aca="false">SUM(D14:F14)</f>
        <v>200469</v>
      </c>
      <c r="D14" s="6" t="n">
        <v>64782</v>
      </c>
      <c r="E14" s="6" t="n">
        <v>64749</v>
      </c>
      <c r="F14" s="6" t="n">
        <v>70938</v>
      </c>
      <c r="G14" s="6" t="n">
        <f aca="false">ROUND(C14/B14,0)</f>
        <v>6467</v>
      </c>
      <c r="H14" s="6" t="n">
        <f aca="false">ROUND(D14/B14,0)</f>
        <v>2090</v>
      </c>
      <c r="I14" s="6" t="n">
        <f aca="false">ROUND(F14/B14,0)</f>
        <v>2288</v>
      </c>
      <c r="J14" s="7" t="n">
        <f aca="false">F14/C14</f>
        <v>0.353860197836074</v>
      </c>
    </row>
    <row r="15" customFormat="false" ht="15" hidden="false" customHeight="false" outlineLevel="0" collapsed="false">
      <c r="A15" s="6" t="s">
        <v>85</v>
      </c>
      <c r="B15" s="6" t="n">
        <v>30</v>
      </c>
      <c r="C15" s="6" t="n">
        <f aca="false">SUM(D15:F15)</f>
        <v>186153</v>
      </c>
      <c r="D15" s="6" t="n">
        <v>59597</v>
      </c>
      <c r="E15" s="6" t="n">
        <v>61854</v>
      </c>
      <c r="F15" s="6" t="n">
        <v>64702</v>
      </c>
      <c r="G15" s="6" t="n">
        <f aca="false">ROUND(C15/B15,0)</f>
        <v>6205</v>
      </c>
      <c r="H15" s="6" t="n">
        <f aca="false">ROUND(D15/B15,0)</f>
        <v>1987</v>
      </c>
      <c r="I15" s="6" t="n">
        <f aca="false">ROUND(F15/B15,0)</f>
        <v>2157</v>
      </c>
      <c r="J15" s="7" t="n">
        <f aca="false">F15/C15</f>
        <v>0.347574307155942</v>
      </c>
    </row>
    <row r="16" customFormat="false" ht="15" hidden="false" customHeight="false" outlineLevel="0" collapsed="false">
      <c r="A16" s="6" t="s">
        <v>86</v>
      </c>
      <c r="B16" s="6" t="n">
        <v>31</v>
      </c>
      <c r="C16" s="6" t="n">
        <f aca="false">SUM(D16:F16)</f>
        <v>230301</v>
      </c>
      <c r="D16" s="6" t="n">
        <v>104781</v>
      </c>
      <c r="E16" s="6" t="n">
        <v>62370</v>
      </c>
      <c r="F16" s="6" t="n">
        <v>63150</v>
      </c>
      <c r="G16" s="6" t="n">
        <f aca="false">ROUND(C16/B16,0)</f>
        <v>7429</v>
      </c>
      <c r="H16" s="6" t="n">
        <f aca="false">ROUND(D16/B16,0)</f>
        <v>3380</v>
      </c>
      <c r="I16" s="6" t="n">
        <f aca="false">ROUND(F16/B16,0)</f>
        <v>2037</v>
      </c>
      <c r="J16" s="7" t="n">
        <f aca="false">F16/C16</f>
        <v>0.274206364714005</v>
      </c>
    </row>
    <row r="17" customFormat="false" ht="15" hidden="false" customHeight="false" outlineLevel="0" collapsed="false">
      <c r="A17" s="9" t="s">
        <v>87</v>
      </c>
      <c r="B17" s="9" t="n">
        <f aca="false">SUM(B5:B16)</f>
        <v>365</v>
      </c>
      <c r="C17" s="9" t="n">
        <f aca="false">SUM(C5:C16)</f>
        <v>2318210</v>
      </c>
      <c r="D17" s="9" t="n">
        <f aca="false">SUM(D5:D16)</f>
        <v>814568</v>
      </c>
      <c r="E17" s="9" t="n">
        <f aca="false">SUM(E5:E16)</f>
        <v>740001</v>
      </c>
      <c r="F17" s="9" t="n">
        <f aca="false">SUM(F5:F16)</f>
        <v>763641</v>
      </c>
      <c r="G17" s="9" t="n">
        <f aca="false">ROUND(C17/B17,0)</f>
        <v>6351</v>
      </c>
      <c r="H17" s="9" t="n">
        <f aca="false">ROUND(D17/B17,0)</f>
        <v>2232</v>
      </c>
      <c r="I17" s="9" t="n">
        <f aca="false">ROUND(F17/B17,0)</f>
        <v>2092</v>
      </c>
      <c r="J17" s="10" t="n">
        <f aca="false">F17/C17</f>
        <v>0.329409760116642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8"/>
  </cols>
  <sheetData>
    <row r="1" customFormat="false" ht="17.3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4" customFormat="false" ht="30" hidden="false" customHeight="true" outlineLevel="0" collapsed="false">
      <c r="A4" s="5" t="s">
        <v>69</v>
      </c>
      <c r="B4" s="5" t="s">
        <v>70</v>
      </c>
      <c r="C4" s="5" t="s">
        <v>71</v>
      </c>
      <c r="D4" s="5" t="s">
        <v>17</v>
      </c>
      <c r="E4" s="5" t="s">
        <v>90</v>
      </c>
      <c r="F4" s="5" t="s">
        <v>91</v>
      </c>
      <c r="G4" s="5" t="s">
        <v>92</v>
      </c>
      <c r="H4" s="5" t="s">
        <v>50</v>
      </c>
      <c r="I4" s="5" t="s">
        <v>54</v>
      </c>
      <c r="J4" s="5" t="s">
        <v>56</v>
      </c>
      <c r="K4" s="5" t="s">
        <v>57</v>
      </c>
    </row>
    <row r="5" customFormat="false" ht="15" hidden="false" customHeight="false" outlineLevel="0" collapsed="false">
      <c r="A5" s="6" t="s">
        <v>93</v>
      </c>
      <c r="B5" s="6" t="n">
        <v>31</v>
      </c>
      <c r="C5" s="6" t="n">
        <f aca="false">SUM(D5:G5)</f>
        <v>31703</v>
      </c>
      <c r="D5" s="6" t="n">
        <v>13804</v>
      </c>
      <c r="E5" s="6" t="n">
        <v>8535</v>
      </c>
      <c r="F5" s="6" t="n">
        <v>9124</v>
      </c>
      <c r="G5" s="6" t="n">
        <v>240</v>
      </c>
      <c r="H5" s="6" t="n">
        <f aca="false">ROUND(C5/B5,0)</f>
        <v>1023</v>
      </c>
      <c r="I5" s="6" t="n">
        <f aca="false">ROUND(D5/B5,0)</f>
        <v>445</v>
      </c>
      <c r="J5" s="6" t="n">
        <f aca="false">ROUND(F5/B5,0)</f>
        <v>294</v>
      </c>
      <c r="K5" s="7" t="n">
        <f aca="false">F5/C5</f>
        <v>0.287796107623884</v>
      </c>
    </row>
    <row r="6" customFormat="false" ht="15" hidden="false" customHeight="false" outlineLevel="0" collapsed="false">
      <c r="A6" s="6" t="s">
        <v>94</v>
      </c>
      <c r="B6" s="6" t="n">
        <v>30</v>
      </c>
      <c r="C6" s="6" t="n">
        <f aca="false">SUM(D6:G6)</f>
        <v>80209</v>
      </c>
      <c r="D6" s="6" t="n">
        <v>37660</v>
      </c>
      <c r="E6" s="6" t="n">
        <v>20990</v>
      </c>
      <c r="F6" s="6" t="n">
        <v>20711</v>
      </c>
      <c r="G6" s="6" t="n">
        <v>848</v>
      </c>
      <c r="H6" s="6" t="n">
        <f aca="false">ROUND(C6/B6,0)</f>
        <v>2674</v>
      </c>
      <c r="I6" s="6" t="n">
        <f aca="false">ROUND(D6/B6,0)</f>
        <v>1255</v>
      </c>
      <c r="J6" s="6" t="n">
        <f aca="false">ROUND(F6/B6,0)</f>
        <v>690</v>
      </c>
      <c r="K6" s="7" t="n">
        <f aca="false">F6/C6</f>
        <v>0.258212918749766</v>
      </c>
    </row>
    <row r="7" customFormat="false" ht="15" hidden="false" customHeight="false" outlineLevel="0" collapsed="false">
      <c r="A7" s="6" t="s">
        <v>95</v>
      </c>
      <c r="B7" s="6" t="n">
        <v>31</v>
      </c>
      <c r="C7" s="6" t="n">
        <f aca="false">SUM(D7:G7)</f>
        <v>126100</v>
      </c>
      <c r="D7" s="6" t="n">
        <v>83155</v>
      </c>
      <c r="E7" s="6" t="n">
        <v>22807</v>
      </c>
      <c r="F7" s="6" t="n">
        <v>19318</v>
      </c>
      <c r="G7" s="6" t="n">
        <v>820</v>
      </c>
      <c r="H7" s="6" t="n">
        <f aca="false">ROUND(C7/B7,0)</f>
        <v>4068</v>
      </c>
      <c r="I7" s="6" t="n">
        <f aca="false">ROUND(D7/B7,0)</f>
        <v>2682</v>
      </c>
      <c r="J7" s="6" t="n">
        <f aca="false">ROUND(F7/B7,0)</f>
        <v>623</v>
      </c>
      <c r="K7" s="7" t="n">
        <f aca="false">F7/C7</f>
        <v>0.15319587628866</v>
      </c>
    </row>
    <row r="8" customFormat="false" ht="15" hidden="false" customHeight="false" outlineLevel="0" collapsed="false">
      <c r="A8" s="6" t="s">
        <v>96</v>
      </c>
      <c r="B8" s="6" t="n">
        <v>31</v>
      </c>
      <c r="C8" s="6" t="n">
        <f aca="false">SUM(D8:G8)</f>
        <v>99824</v>
      </c>
      <c r="D8" s="6" t="n">
        <v>62264</v>
      </c>
      <c r="E8" s="6" t="n">
        <v>19476</v>
      </c>
      <c r="F8" s="6" t="n">
        <v>18084</v>
      </c>
      <c r="G8" s="6" t="n">
        <v>0</v>
      </c>
      <c r="H8" s="6" t="n">
        <f aca="false">ROUND(C8/B8,0)</f>
        <v>3220</v>
      </c>
      <c r="I8" s="6" t="n">
        <f aca="false">ROUND(D8/B8,0)</f>
        <v>2009</v>
      </c>
      <c r="J8" s="6" t="n">
        <f aca="false">ROUND(F8/B8,0)</f>
        <v>583</v>
      </c>
      <c r="K8" s="7" t="n">
        <f aca="false">F8/C8</f>
        <v>0.181158839557621</v>
      </c>
    </row>
    <row r="9" customFormat="false" ht="15" hidden="false" customHeight="false" outlineLevel="0" collapsed="false">
      <c r="A9" s="6" t="s">
        <v>97</v>
      </c>
      <c r="B9" s="6" t="n">
        <v>28</v>
      </c>
      <c r="C9" s="6" t="n">
        <f aca="false">SUM(D9:G9)</f>
        <v>61507</v>
      </c>
      <c r="D9" s="6" t="n">
        <v>28454</v>
      </c>
      <c r="E9" s="6" t="n">
        <v>17175</v>
      </c>
      <c r="F9" s="6" t="n">
        <v>15878</v>
      </c>
      <c r="G9" s="6" t="n">
        <v>0</v>
      </c>
      <c r="H9" s="6" t="n">
        <f aca="false">ROUND(C9/B9,0)</f>
        <v>2197</v>
      </c>
      <c r="I9" s="6" t="n">
        <f aca="false">ROUND(D9/B9,0)</f>
        <v>1016</v>
      </c>
      <c r="J9" s="6" t="n">
        <f aca="false">ROUND(F9/B9,0)</f>
        <v>567</v>
      </c>
      <c r="K9" s="7" t="n">
        <f aca="false">F9/C9</f>
        <v>0.258149478921098</v>
      </c>
    </row>
    <row r="10" customFormat="false" ht="15" hidden="false" customHeight="false" outlineLevel="0" collapsed="false">
      <c r="A10" s="6" t="s">
        <v>98</v>
      </c>
      <c r="B10" s="6" t="n">
        <v>31</v>
      </c>
      <c r="C10" s="6" t="n">
        <f aca="false">SUM(D10:G10)</f>
        <v>70150</v>
      </c>
      <c r="D10" s="6" t="n">
        <v>32573</v>
      </c>
      <c r="E10" s="6" t="n">
        <v>19919</v>
      </c>
      <c r="F10" s="6" t="n">
        <v>17658</v>
      </c>
      <c r="G10" s="6" t="n">
        <v>0</v>
      </c>
      <c r="H10" s="6" t="n">
        <f aca="false">ROUND(C10/B10,0)</f>
        <v>2263</v>
      </c>
      <c r="I10" s="6" t="n">
        <f aca="false">ROUND(D10/B10,0)</f>
        <v>1051</v>
      </c>
      <c r="J10" s="6" t="n">
        <f aca="false">ROUND(F10/B10,0)</f>
        <v>570</v>
      </c>
      <c r="K10" s="7" t="n">
        <f aca="false">F10/C10</f>
        <v>0.251717747683535</v>
      </c>
    </row>
    <row r="11" customFormat="false" ht="15" hidden="false" customHeight="false" outlineLevel="0" collapsed="false">
      <c r="A11" s="6" t="s">
        <v>99</v>
      </c>
      <c r="B11" s="6" t="n">
        <v>30</v>
      </c>
      <c r="C11" s="6" t="n">
        <f aca="false">SUM(D11:G11)</f>
        <v>85511</v>
      </c>
      <c r="D11" s="6" t="n">
        <v>51133</v>
      </c>
      <c r="E11" s="6" t="n">
        <v>18403</v>
      </c>
      <c r="F11" s="6" t="n">
        <v>15975</v>
      </c>
      <c r="G11" s="6" t="n">
        <v>0</v>
      </c>
      <c r="H11" s="6" t="n">
        <f aca="false">ROUND(C11/B11,0)</f>
        <v>2850</v>
      </c>
      <c r="I11" s="6" t="n">
        <f aca="false">ROUND(D11/B11,0)</f>
        <v>1704</v>
      </c>
      <c r="J11" s="6" t="n">
        <f aca="false">ROUND(F11/B11,0)</f>
        <v>533</v>
      </c>
      <c r="K11" s="7" t="n">
        <f aca="false">F11/C11</f>
        <v>0.1868180701898</v>
      </c>
    </row>
    <row r="12" customFormat="false" ht="15" hidden="false" customHeight="false" outlineLevel="0" collapsed="false">
      <c r="A12" s="6" t="s">
        <v>100</v>
      </c>
      <c r="B12" s="6" t="n">
        <v>31</v>
      </c>
      <c r="C12" s="6" t="n">
        <f aca="false">SUM(D12:G12)</f>
        <v>47359</v>
      </c>
      <c r="D12" s="6" t="n">
        <v>18540</v>
      </c>
      <c r="E12" s="6" t="n">
        <v>14791</v>
      </c>
      <c r="F12" s="6" t="n">
        <v>14028</v>
      </c>
      <c r="G12" s="6" t="n">
        <v>0</v>
      </c>
      <c r="H12" s="6" t="n">
        <f aca="false">ROUND(C12/B12,0)</f>
        <v>1528</v>
      </c>
      <c r="I12" s="6" t="n">
        <f aca="false">ROUND(D12/B12,0)</f>
        <v>598</v>
      </c>
      <c r="J12" s="6" t="n">
        <f aca="false">ROUND(F12/B12,0)</f>
        <v>453</v>
      </c>
      <c r="K12" s="7" t="n">
        <f aca="false">F12/C12</f>
        <v>0.29620557866509</v>
      </c>
    </row>
    <row r="13" customFormat="false" ht="15" hidden="false" customHeight="false" outlineLevel="0" collapsed="false">
      <c r="A13" s="6" t="s">
        <v>101</v>
      </c>
      <c r="B13" s="6" t="n">
        <v>30</v>
      </c>
      <c r="C13" s="6" t="n">
        <f aca="false">SUM(D13:G13)</f>
        <v>65482</v>
      </c>
      <c r="D13" s="6" t="n">
        <v>32454</v>
      </c>
      <c r="E13" s="6" t="n">
        <v>17273</v>
      </c>
      <c r="F13" s="6" t="n">
        <v>15755</v>
      </c>
      <c r="G13" s="6" t="n">
        <v>0</v>
      </c>
      <c r="H13" s="6" t="n">
        <f aca="false">ROUND(C13/B13,0)</f>
        <v>2183</v>
      </c>
      <c r="I13" s="6" t="n">
        <f aca="false">ROUND(D13/B13,0)</f>
        <v>1082</v>
      </c>
      <c r="J13" s="6" t="n">
        <f aca="false">ROUND(F13/B13,0)</f>
        <v>525</v>
      </c>
      <c r="K13" s="7" t="n">
        <f aca="false">F13/C13</f>
        <v>0.240600470358266</v>
      </c>
    </row>
    <row r="14" customFormat="false" ht="15" hidden="false" customHeight="false" outlineLevel="0" collapsed="false">
      <c r="A14" s="6" t="s">
        <v>102</v>
      </c>
      <c r="B14" s="6" t="n">
        <v>31</v>
      </c>
      <c r="C14" s="6" t="n">
        <f aca="false">SUM(D14:G14)</f>
        <v>72729</v>
      </c>
      <c r="D14" s="6" t="n">
        <v>39885</v>
      </c>
      <c r="E14" s="6" t="n">
        <v>17189</v>
      </c>
      <c r="F14" s="6" t="n">
        <v>15655</v>
      </c>
      <c r="G14" s="6" t="n">
        <v>0</v>
      </c>
      <c r="H14" s="6" t="n">
        <f aca="false">ROUND(C14/B14,0)</f>
        <v>2346</v>
      </c>
      <c r="I14" s="6" t="n">
        <f aca="false">ROUND(D14/B14,0)</f>
        <v>1287</v>
      </c>
      <c r="J14" s="6" t="n">
        <f aca="false">ROUND(F14/B14,0)</f>
        <v>505</v>
      </c>
      <c r="K14" s="7" t="n">
        <f aca="false">F14/C14</f>
        <v>0.215251137785478</v>
      </c>
    </row>
    <row r="15" customFormat="false" ht="15" hidden="false" customHeight="false" outlineLevel="0" collapsed="false">
      <c r="A15" s="6" t="s">
        <v>103</v>
      </c>
      <c r="B15" s="6" t="n">
        <v>31</v>
      </c>
      <c r="C15" s="6" t="n">
        <f aca="false">SUM(D15:G15)</f>
        <v>71289</v>
      </c>
      <c r="D15" s="6" t="n">
        <v>36991</v>
      </c>
      <c r="E15" s="6" t="n">
        <v>18234</v>
      </c>
      <c r="F15" s="6" t="n">
        <v>16064</v>
      </c>
      <c r="G15" s="6" t="n">
        <v>0</v>
      </c>
      <c r="H15" s="6" t="n">
        <f aca="false">ROUND(C15/B15,0)</f>
        <v>2300</v>
      </c>
      <c r="I15" s="6" t="n">
        <f aca="false">ROUND(D15/B15,0)</f>
        <v>1193</v>
      </c>
      <c r="J15" s="6" t="n">
        <f aca="false">ROUND(F15/B15,0)</f>
        <v>518</v>
      </c>
      <c r="K15" s="7" t="n">
        <f aca="false">F15/C15</f>
        <v>0.22533630714416</v>
      </c>
    </row>
    <row r="16" customFormat="false" ht="15" hidden="false" customHeight="false" outlineLevel="0" collapsed="false">
      <c r="A16" s="6" t="s">
        <v>104</v>
      </c>
      <c r="B16" s="6" t="n">
        <v>30</v>
      </c>
      <c r="C16" s="6" t="n">
        <f aca="false">SUM(D16:G16)</f>
        <v>65877</v>
      </c>
      <c r="D16" s="6" t="n">
        <v>31672</v>
      </c>
      <c r="E16" s="6" t="n">
        <v>18287</v>
      </c>
      <c r="F16" s="6" t="n">
        <v>15918</v>
      </c>
      <c r="G16" s="6" t="n">
        <v>0</v>
      </c>
      <c r="H16" s="6" t="n">
        <f aca="false">ROUND(C16/B16,0)</f>
        <v>2196</v>
      </c>
      <c r="I16" s="6" t="n">
        <f aca="false">ROUND(D16/B16,0)</f>
        <v>1056</v>
      </c>
      <c r="J16" s="6" t="n">
        <f aca="false">ROUND(F16/B16,0)</f>
        <v>531</v>
      </c>
      <c r="K16" s="7" t="n">
        <f aca="false">F16/C16</f>
        <v>0.241632132610775</v>
      </c>
    </row>
    <row r="17" customFormat="false" ht="15" hidden="false" customHeight="false" outlineLevel="0" collapsed="false">
      <c r="A17" s="6" t="s">
        <v>105</v>
      </c>
      <c r="B17" s="6" t="n">
        <v>31</v>
      </c>
      <c r="C17" s="6" t="n">
        <f aca="false">SUM(D17:G17)</f>
        <v>78677</v>
      </c>
      <c r="D17" s="6" t="n">
        <v>43902</v>
      </c>
      <c r="E17" s="6" t="n">
        <v>19113</v>
      </c>
      <c r="F17" s="6" t="n">
        <v>15662</v>
      </c>
      <c r="G17" s="6" t="n">
        <v>0</v>
      </c>
      <c r="H17" s="6" t="n">
        <f aca="false">ROUND(C17/B17,0)</f>
        <v>2538</v>
      </c>
      <c r="I17" s="6" t="n">
        <f aca="false">ROUND(D17/B17,0)</f>
        <v>1416</v>
      </c>
      <c r="J17" s="6" t="n">
        <f aca="false">ROUND(F17/B17,0)</f>
        <v>505</v>
      </c>
      <c r="K17" s="7" t="n">
        <f aca="false">F17/C17</f>
        <v>0.199067071698209</v>
      </c>
    </row>
    <row r="18" customFormat="false" ht="15" hidden="false" customHeight="false" outlineLevel="0" collapsed="false">
      <c r="A18" s="6" t="s">
        <v>106</v>
      </c>
      <c r="B18" s="6" t="n">
        <v>30</v>
      </c>
      <c r="C18" s="6" t="n">
        <f aca="false">SUM(D18:G18)</f>
        <v>72599</v>
      </c>
      <c r="D18" s="6" t="n">
        <v>38174</v>
      </c>
      <c r="E18" s="6" t="n">
        <v>19350</v>
      </c>
      <c r="F18" s="6" t="n">
        <v>15075</v>
      </c>
      <c r="G18" s="6" t="n">
        <v>0</v>
      </c>
      <c r="H18" s="6" t="n">
        <f aca="false">ROUND(C18/B18,0)</f>
        <v>2420</v>
      </c>
      <c r="I18" s="6" t="n">
        <f aca="false">ROUND(D18/B18,0)</f>
        <v>1272</v>
      </c>
      <c r="J18" s="6" t="n">
        <f aca="false">ROUND(F18/B18,0)</f>
        <v>503</v>
      </c>
      <c r="K18" s="7" t="n">
        <f aca="false">F18/C18</f>
        <v>0.207647488257414</v>
      </c>
    </row>
    <row r="19" customFormat="false" ht="15" hidden="false" customHeight="false" outlineLevel="0" collapsed="false">
      <c r="A19" s="6" t="s">
        <v>107</v>
      </c>
      <c r="B19" s="6" t="n">
        <v>31</v>
      </c>
      <c r="C19" s="6" t="n">
        <f aca="false">SUM(D19:G19)</f>
        <v>105534</v>
      </c>
      <c r="D19" s="6" t="n">
        <v>70830</v>
      </c>
      <c r="E19" s="6" t="n">
        <v>20306</v>
      </c>
      <c r="F19" s="6" t="n">
        <v>14398</v>
      </c>
      <c r="G19" s="6" t="n">
        <v>0</v>
      </c>
      <c r="H19" s="6" t="n">
        <f aca="false">ROUND(C19/B19,0)</f>
        <v>3404</v>
      </c>
      <c r="I19" s="6" t="n">
        <f aca="false">ROUND(D19/B19,0)</f>
        <v>2285</v>
      </c>
      <c r="J19" s="6" t="n">
        <f aca="false">ROUND(F19/B19,0)</f>
        <v>464</v>
      </c>
      <c r="K19" s="7" t="n">
        <f aca="false">F19/C19</f>
        <v>0.136429965698258</v>
      </c>
    </row>
    <row r="20" customFormat="false" ht="15" hidden="false" customHeight="false" outlineLevel="0" collapsed="false">
      <c r="A20" s="6" t="s">
        <v>108</v>
      </c>
      <c r="B20" s="6" t="n">
        <v>31</v>
      </c>
      <c r="C20" s="6" t="n">
        <f aca="false">SUM(D20:G20)</f>
        <v>99466</v>
      </c>
      <c r="D20" s="6" t="n">
        <v>66843</v>
      </c>
      <c r="E20" s="6" t="n">
        <v>18752</v>
      </c>
      <c r="F20" s="6" t="n">
        <v>13871</v>
      </c>
      <c r="G20" s="6" t="n">
        <v>0</v>
      </c>
      <c r="H20" s="6" t="n">
        <f aca="false">ROUND(C20/B20,0)</f>
        <v>3209</v>
      </c>
      <c r="I20" s="6" t="n">
        <f aca="false">ROUND(D20/B20,0)</f>
        <v>2156</v>
      </c>
      <c r="J20" s="6" t="n">
        <f aca="false">ROUND(F20/B20,0)</f>
        <v>447</v>
      </c>
      <c r="K20" s="7" t="n">
        <f aca="false">F20/C20</f>
        <v>0.139454688034102</v>
      </c>
    </row>
    <row r="21" customFormat="false" ht="15" hidden="false" customHeight="false" outlineLevel="0" collapsed="false">
      <c r="A21" s="6" t="s">
        <v>109</v>
      </c>
      <c r="B21" s="6" t="n">
        <v>28</v>
      </c>
      <c r="C21" s="6" t="n">
        <f aca="false">SUM(D21:G21)</f>
        <v>60355</v>
      </c>
      <c r="D21" s="6" t="n">
        <v>28798</v>
      </c>
      <c r="E21" s="6" t="n">
        <v>17169</v>
      </c>
      <c r="F21" s="6" t="n">
        <v>14388</v>
      </c>
      <c r="G21" s="6" t="n">
        <v>0</v>
      </c>
      <c r="H21" s="6" t="n">
        <f aca="false">ROUND(C21/B21,0)</f>
        <v>2156</v>
      </c>
      <c r="I21" s="6" t="n">
        <f aca="false">ROUND(D21/B21,0)</f>
        <v>1029</v>
      </c>
      <c r="J21" s="6" t="n">
        <f aca="false">ROUND(F21/B21,0)</f>
        <v>514</v>
      </c>
      <c r="K21" s="7" t="n">
        <f aca="false">F21/C21</f>
        <v>0.238389528622318</v>
      </c>
    </row>
    <row r="22" customFormat="false" ht="15" hidden="false" customHeight="false" outlineLevel="0" collapsed="false">
      <c r="A22" s="6" t="s">
        <v>110</v>
      </c>
      <c r="B22" s="6" t="n">
        <v>31</v>
      </c>
      <c r="C22" s="6" t="n">
        <f aca="false">SUM(D22:G22)</f>
        <v>72447</v>
      </c>
      <c r="D22" s="6" t="n">
        <v>37761</v>
      </c>
      <c r="E22" s="6" t="n">
        <v>19531</v>
      </c>
      <c r="F22" s="6" t="n">
        <v>15155</v>
      </c>
      <c r="G22" s="6" t="n">
        <v>0</v>
      </c>
      <c r="H22" s="6" t="n">
        <f aca="false">ROUND(C22/B22,0)</f>
        <v>2337</v>
      </c>
      <c r="I22" s="6" t="n">
        <f aca="false">ROUND(D22/B22,0)</f>
        <v>1218</v>
      </c>
      <c r="J22" s="6" t="n">
        <f aca="false">ROUND(F22/B22,0)</f>
        <v>489</v>
      </c>
      <c r="K22" s="7" t="n">
        <f aca="false">F22/C22</f>
        <v>0.20918740596574</v>
      </c>
    </row>
    <row r="23" customFormat="false" ht="15" hidden="false" customHeight="false" outlineLevel="0" collapsed="false">
      <c r="A23" s="6" t="s">
        <v>111</v>
      </c>
      <c r="B23" s="6" t="n">
        <v>30</v>
      </c>
      <c r="C23" s="6" t="n">
        <f aca="false">SUM(D23:G23)</f>
        <v>143448</v>
      </c>
      <c r="D23" s="6" t="n">
        <v>91871</v>
      </c>
      <c r="E23" s="6" t="n">
        <v>30065</v>
      </c>
      <c r="F23" s="6" t="n">
        <v>21512</v>
      </c>
      <c r="G23" s="6" t="n">
        <v>0</v>
      </c>
      <c r="H23" s="6" t="n">
        <f aca="false">ROUND(C23/B23,0)</f>
        <v>4782</v>
      </c>
      <c r="I23" s="6" t="n">
        <f aca="false">ROUND(D23/B23,0)</f>
        <v>3062</v>
      </c>
      <c r="J23" s="6" t="n">
        <f aca="false">ROUND(F23/B23,0)</f>
        <v>717</v>
      </c>
      <c r="K23" s="7" t="n">
        <f aca="false">F23/C23</f>
        <v>0.149963749930288</v>
      </c>
    </row>
    <row r="24" customFormat="false" ht="15" hidden="false" customHeight="false" outlineLevel="0" collapsed="false">
      <c r="A24" s="6" t="s">
        <v>112</v>
      </c>
      <c r="B24" s="6" t="n">
        <v>31</v>
      </c>
      <c r="C24" s="6" t="n">
        <f aca="false">SUM(D24:G24)</f>
        <v>112005</v>
      </c>
      <c r="D24" s="6" t="n">
        <v>59089</v>
      </c>
      <c r="E24" s="6" t="n">
        <v>32467</v>
      </c>
      <c r="F24" s="6" t="n">
        <v>20449</v>
      </c>
      <c r="G24" s="6" t="n">
        <v>0</v>
      </c>
      <c r="H24" s="6" t="n">
        <f aca="false">ROUND(C24/B24,0)</f>
        <v>3613</v>
      </c>
      <c r="I24" s="6" t="n">
        <f aca="false">ROUND(D24/B24,0)</f>
        <v>1906</v>
      </c>
      <c r="J24" s="6" t="n">
        <f aca="false">ROUND(F24/B24,0)</f>
        <v>660</v>
      </c>
      <c r="K24" s="7" t="n">
        <f aca="false">F24/C24</f>
        <v>0.18257220659792</v>
      </c>
    </row>
    <row r="25" customFormat="false" ht="15" hidden="false" customHeight="false" outlineLevel="0" collapsed="false">
      <c r="A25" s="6" t="s">
        <v>113</v>
      </c>
      <c r="B25" s="6" t="n">
        <v>30</v>
      </c>
      <c r="C25" s="6" t="n">
        <f aca="false">SUM(D25:G25)</f>
        <v>129749</v>
      </c>
      <c r="D25" s="6" t="n">
        <v>78190</v>
      </c>
      <c r="E25" s="6" t="n">
        <v>32626</v>
      </c>
      <c r="F25" s="6" t="n">
        <v>18933</v>
      </c>
      <c r="G25" s="6" t="n">
        <v>0</v>
      </c>
      <c r="H25" s="6" t="n">
        <f aca="false">ROUND(C25/B25,0)</f>
        <v>4325</v>
      </c>
      <c r="I25" s="6" t="n">
        <f aca="false">ROUND(D25/B25,0)</f>
        <v>2606</v>
      </c>
      <c r="J25" s="6" t="n">
        <f aca="false">ROUND(F25/B25,0)</f>
        <v>631</v>
      </c>
      <c r="K25" s="7" t="n">
        <f aca="false">F25/C25</f>
        <v>0.145920199770326</v>
      </c>
    </row>
    <row r="26" customFormat="false" ht="15" hidden="false" customHeight="false" outlineLevel="0" collapsed="false">
      <c r="A26" s="6" t="s">
        <v>114</v>
      </c>
      <c r="B26" s="6" t="n">
        <v>31</v>
      </c>
      <c r="C26" s="6" t="n">
        <f aca="false">SUM(D26:G26)</f>
        <v>139260</v>
      </c>
      <c r="D26" s="6" t="n">
        <v>86073</v>
      </c>
      <c r="E26" s="6" t="n">
        <v>34449</v>
      </c>
      <c r="F26" s="6" t="n">
        <v>18738</v>
      </c>
      <c r="G26" s="6" t="n">
        <v>0</v>
      </c>
      <c r="H26" s="6" t="n">
        <f aca="false">ROUND(C26/B26,0)</f>
        <v>4492</v>
      </c>
      <c r="I26" s="6" t="n">
        <f aca="false">ROUND(D26/B26,0)</f>
        <v>2777</v>
      </c>
      <c r="J26" s="6" t="n">
        <f aca="false">ROUND(F26/B26,0)</f>
        <v>604</v>
      </c>
      <c r="K26" s="7" t="n">
        <f aca="false">F26/C26</f>
        <v>0.134554071520896</v>
      </c>
    </row>
    <row r="27" customFormat="false" ht="15" hidden="false" customHeight="false" outlineLevel="0" collapsed="false">
      <c r="A27" s="6" t="s">
        <v>115</v>
      </c>
      <c r="B27" s="6" t="n">
        <v>31</v>
      </c>
      <c r="C27" s="6" t="n">
        <f aca="false">SUM(D27:G27)</f>
        <v>128255</v>
      </c>
      <c r="D27" s="6" t="n">
        <v>73939</v>
      </c>
      <c r="E27" s="6" t="n">
        <v>35099</v>
      </c>
      <c r="F27" s="6" t="n">
        <v>19217</v>
      </c>
      <c r="G27" s="6" t="n">
        <v>0</v>
      </c>
      <c r="H27" s="6" t="n">
        <f aca="false">ROUND(C27/B27,0)</f>
        <v>4137</v>
      </c>
      <c r="I27" s="6" t="n">
        <f aca="false">ROUND(D27/B27,0)</f>
        <v>2385</v>
      </c>
      <c r="J27" s="6" t="n">
        <f aca="false">ROUND(F27/B27,0)</f>
        <v>620</v>
      </c>
      <c r="K27" s="7" t="n">
        <f aca="false">F27/C27</f>
        <v>0.149834314451678</v>
      </c>
    </row>
    <row r="28" customFormat="false" ht="15" hidden="false" customHeight="false" outlineLevel="0" collapsed="false">
      <c r="A28" s="6" t="s">
        <v>116</v>
      </c>
      <c r="B28" s="6" t="n">
        <v>30</v>
      </c>
      <c r="C28" s="6" t="n">
        <f aca="false">SUM(D28:G28)</f>
        <v>109641</v>
      </c>
      <c r="D28" s="6" t="n">
        <v>56136</v>
      </c>
      <c r="E28" s="6" t="n">
        <v>34659</v>
      </c>
      <c r="F28" s="6" t="n">
        <v>18846</v>
      </c>
      <c r="G28" s="6" t="n">
        <v>0</v>
      </c>
      <c r="H28" s="6" t="n">
        <f aca="false">ROUND(C28/B28,0)</f>
        <v>3655</v>
      </c>
      <c r="I28" s="6" t="n">
        <f aca="false">ROUND(D28/B28,0)</f>
        <v>1871</v>
      </c>
      <c r="J28" s="6" t="n">
        <f aca="false">ROUND(F28/B28,0)</f>
        <v>628</v>
      </c>
      <c r="K28" s="7" t="n">
        <f aca="false">F28/C28</f>
        <v>0.171888253481818</v>
      </c>
    </row>
    <row r="29" customFormat="false" ht="15" hidden="false" customHeight="false" outlineLevel="0" collapsed="false">
      <c r="A29" s="6" t="s">
        <v>117</v>
      </c>
      <c r="B29" s="6" t="n">
        <v>31</v>
      </c>
      <c r="C29" s="6" t="n">
        <f aca="false">SUM(D29:G29)</f>
        <v>132990</v>
      </c>
      <c r="D29" s="6" t="n">
        <v>76081</v>
      </c>
      <c r="E29" s="6" t="n">
        <v>36947</v>
      </c>
      <c r="F29" s="6" t="n">
        <v>19962</v>
      </c>
      <c r="G29" s="6" t="n">
        <v>0</v>
      </c>
      <c r="H29" s="6" t="n">
        <f aca="false">ROUND(C29/B29,0)</f>
        <v>4290</v>
      </c>
      <c r="I29" s="6" t="n">
        <f aca="false">ROUND(D29/B29,0)</f>
        <v>2454</v>
      </c>
      <c r="J29" s="6" t="n">
        <f aca="false">ROUND(F29/B29,0)</f>
        <v>644</v>
      </c>
      <c r="K29" s="7" t="n">
        <f aca="false">F29/C29</f>
        <v>0.150101511391834</v>
      </c>
    </row>
    <row r="30" customFormat="false" ht="15" hidden="false" customHeight="false" outlineLevel="0" collapsed="false">
      <c r="A30" s="6" t="s">
        <v>118</v>
      </c>
      <c r="B30" s="6" t="n">
        <v>30</v>
      </c>
      <c r="C30" s="6" t="n">
        <f aca="false">SUM(D30:G30)</f>
        <v>127834</v>
      </c>
      <c r="D30" s="6" t="n">
        <v>68902</v>
      </c>
      <c r="E30" s="6" t="n">
        <v>38262</v>
      </c>
      <c r="F30" s="6" t="n">
        <v>20670</v>
      </c>
      <c r="G30" s="6" t="n">
        <v>0</v>
      </c>
      <c r="H30" s="6" t="n">
        <f aca="false">ROUND(C30/B30,0)</f>
        <v>4261</v>
      </c>
      <c r="I30" s="6" t="n">
        <f aca="false">ROUND(D30/B30,0)</f>
        <v>2297</v>
      </c>
      <c r="J30" s="6" t="n">
        <f aca="false">ROUND(F30/B30,0)</f>
        <v>689</v>
      </c>
      <c r="K30" s="7" t="n">
        <f aca="false">F30/C30</f>
        <v>0.161694071999625</v>
      </c>
    </row>
    <row r="31" customFormat="false" ht="15" hidden="false" customHeight="false" outlineLevel="0" collapsed="false">
      <c r="A31" s="6" t="s">
        <v>119</v>
      </c>
      <c r="B31" s="6" t="n">
        <v>31</v>
      </c>
      <c r="C31" s="6" t="n">
        <f aca="false">SUM(D31:G31)</f>
        <v>182884</v>
      </c>
      <c r="D31" s="6" t="n">
        <v>121002</v>
      </c>
      <c r="E31" s="6" t="n">
        <v>41349</v>
      </c>
      <c r="F31" s="6" t="n">
        <v>20533</v>
      </c>
      <c r="G31" s="6" t="n">
        <v>0</v>
      </c>
      <c r="H31" s="6" t="n">
        <f aca="false">ROUND(C31/B31,0)</f>
        <v>5899</v>
      </c>
      <c r="I31" s="6" t="n">
        <f aca="false">ROUND(D31/B31,0)</f>
        <v>3903</v>
      </c>
      <c r="J31" s="6" t="n">
        <f aca="false">ROUND(F31/B31,0)</f>
        <v>662</v>
      </c>
      <c r="K31" s="7" t="n">
        <f aca="false">F31/C31</f>
        <v>0.11227335360119</v>
      </c>
    </row>
    <row r="32" customFormat="false" ht="15" hidden="false" customHeight="false" outlineLevel="0" collapsed="false">
      <c r="A32" s="6" t="s">
        <v>120</v>
      </c>
      <c r="B32" s="6" t="n">
        <v>31</v>
      </c>
      <c r="C32" s="6" t="n">
        <f aca="false">SUM(D32:G32)</f>
        <v>186883</v>
      </c>
      <c r="D32" s="6" t="n">
        <v>128733</v>
      </c>
      <c r="E32" s="6" t="n">
        <v>38772</v>
      </c>
      <c r="F32" s="6" t="n">
        <v>19378</v>
      </c>
      <c r="G32" s="6" t="n">
        <v>0</v>
      </c>
      <c r="H32" s="6" t="n">
        <f aca="false">ROUND(C32/B32,0)</f>
        <v>6028</v>
      </c>
      <c r="I32" s="6" t="n">
        <f aca="false">ROUND(D32/B32,0)</f>
        <v>4153</v>
      </c>
      <c r="J32" s="6" t="n">
        <f aca="false">ROUND(F32/B32,0)</f>
        <v>625</v>
      </c>
      <c r="K32" s="7" t="n">
        <f aca="false">F32/C32</f>
        <v>0.103690544351279</v>
      </c>
    </row>
    <row r="33" customFormat="false" ht="15" hidden="false" customHeight="false" outlineLevel="0" collapsed="false">
      <c r="A33" s="6" t="s">
        <v>121</v>
      </c>
      <c r="B33" s="6" t="n">
        <v>29</v>
      </c>
      <c r="C33" s="6" t="n">
        <f aca="false">SUM(D33:G33)</f>
        <v>105100</v>
      </c>
      <c r="D33" s="6" t="n">
        <v>51442</v>
      </c>
      <c r="E33" s="6" t="n">
        <v>34798</v>
      </c>
      <c r="F33" s="6" t="n">
        <v>18860</v>
      </c>
      <c r="G33" s="6" t="n">
        <v>0</v>
      </c>
      <c r="H33" s="6" t="n">
        <f aca="false">ROUND(C33/B33,0)</f>
        <v>3624</v>
      </c>
      <c r="I33" s="6" t="n">
        <f aca="false">ROUND(D33/B33,0)</f>
        <v>1774</v>
      </c>
      <c r="J33" s="6" t="n">
        <f aca="false">ROUND(F33/B33,0)</f>
        <v>650</v>
      </c>
      <c r="K33" s="7" t="n">
        <f aca="false">F33/C33</f>
        <v>0.179448144624167</v>
      </c>
    </row>
    <row r="34" customFormat="false" ht="15" hidden="false" customHeight="false" outlineLevel="0" collapsed="false">
      <c r="A34" s="6" t="s">
        <v>122</v>
      </c>
      <c r="B34" s="6" t="n">
        <v>31</v>
      </c>
      <c r="C34" s="6" t="n">
        <f aca="false">SUM(D34:G34)</f>
        <v>145624</v>
      </c>
      <c r="D34" s="6" t="n">
        <v>92181</v>
      </c>
      <c r="E34" s="6" t="n">
        <v>35145</v>
      </c>
      <c r="F34" s="6" t="n">
        <v>18298</v>
      </c>
      <c r="G34" s="6" t="n">
        <v>0</v>
      </c>
      <c r="H34" s="6" t="n">
        <f aca="false">ROUND(C34/B34,0)</f>
        <v>4698</v>
      </c>
      <c r="I34" s="6" t="n">
        <f aca="false">ROUND(D34/B34,0)</f>
        <v>2974</v>
      </c>
      <c r="J34" s="6" t="n">
        <f aca="false">ROUND(F34/B34,0)</f>
        <v>590</v>
      </c>
      <c r="K34" s="7" t="n">
        <f aca="false">F34/C34</f>
        <v>0.125652364994781</v>
      </c>
    </row>
    <row r="35" customFormat="false" ht="15" hidden="false" customHeight="false" outlineLevel="0" collapsed="false">
      <c r="A35" s="6" t="s">
        <v>123</v>
      </c>
      <c r="B35" s="6" t="n">
        <v>30</v>
      </c>
      <c r="C35" s="6" t="n">
        <f aca="false">SUM(D35:G35)</f>
        <v>106196</v>
      </c>
      <c r="D35" s="6" t="n">
        <v>50089</v>
      </c>
      <c r="E35" s="6" t="n">
        <v>36714</v>
      </c>
      <c r="F35" s="6" t="n">
        <v>19393</v>
      </c>
      <c r="G35" s="6" t="n">
        <v>0</v>
      </c>
      <c r="H35" s="6" t="n">
        <f aca="false">ROUND(C35/B35,0)</f>
        <v>3540</v>
      </c>
      <c r="I35" s="6" t="n">
        <f aca="false">ROUND(D35/B35,0)</f>
        <v>1670</v>
      </c>
      <c r="J35" s="6" t="n">
        <f aca="false">ROUND(F35/B35,0)</f>
        <v>646</v>
      </c>
      <c r="K35" s="7" t="n">
        <f aca="false">F35/C35</f>
        <v>0.182615164412972</v>
      </c>
    </row>
    <row r="36" customFormat="false" ht="15" hidden="false" customHeight="false" outlineLevel="0" collapsed="false">
      <c r="A36" s="6" t="s">
        <v>124</v>
      </c>
      <c r="B36" s="6" t="n">
        <v>31</v>
      </c>
      <c r="C36" s="6" t="n">
        <f aca="false">SUM(D36:G36)</f>
        <v>114917</v>
      </c>
      <c r="D36" s="6" t="n">
        <v>54631</v>
      </c>
      <c r="E36" s="6" t="n">
        <v>39230</v>
      </c>
      <c r="F36" s="6" t="n">
        <v>21056</v>
      </c>
      <c r="G36" s="6" t="n">
        <v>0</v>
      </c>
      <c r="H36" s="6" t="n">
        <f aca="false">ROUND(C36/B36,0)</f>
        <v>3707</v>
      </c>
      <c r="I36" s="6" t="n">
        <f aca="false">ROUND(D36/B36,0)</f>
        <v>1762</v>
      </c>
      <c r="J36" s="6" t="n">
        <f aca="false">ROUND(F36/B36,0)</f>
        <v>679</v>
      </c>
      <c r="K36" s="7" t="n">
        <f aca="false">F36/C36</f>
        <v>0.183227894915461</v>
      </c>
    </row>
    <row r="37" customFormat="false" ht="15" hidden="false" customHeight="false" outlineLevel="0" collapsed="false">
      <c r="A37" s="6" t="s">
        <v>125</v>
      </c>
      <c r="B37" s="6" t="n">
        <v>30</v>
      </c>
      <c r="C37" s="6" t="n">
        <f aca="false">SUM(D37:G37)</f>
        <v>134222</v>
      </c>
      <c r="D37" s="6" t="n">
        <v>76641</v>
      </c>
      <c r="E37" s="6" t="n">
        <v>38548</v>
      </c>
      <c r="F37" s="6" t="n">
        <v>19033</v>
      </c>
      <c r="G37" s="6" t="n">
        <v>0</v>
      </c>
      <c r="H37" s="6" t="n">
        <f aca="false">ROUND(C37/B37,0)</f>
        <v>4474</v>
      </c>
      <c r="I37" s="6" t="n">
        <f aca="false">ROUND(D37/B37,0)</f>
        <v>2555</v>
      </c>
      <c r="J37" s="6" t="n">
        <f aca="false">ROUND(F37/B37,0)</f>
        <v>634</v>
      </c>
      <c r="K37" s="7" t="n">
        <f aca="false">F37/C37</f>
        <v>0.141802387090045</v>
      </c>
    </row>
    <row r="38" customFormat="false" ht="15" hidden="false" customHeight="false" outlineLevel="0" collapsed="false">
      <c r="A38" s="6" t="s">
        <v>126</v>
      </c>
      <c r="B38" s="6" t="n">
        <v>31</v>
      </c>
      <c r="C38" s="6" t="n">
        <f aca="false">SUM(D38:G38)</f>
        <v>130949</v>
      </c>
      <c r="D38" s="6" t="n">
        <v>70609</v>
      </c>
      <c r="E38" s="6" t="n">
        <v>39642</v>
      </c>
      <c r="F38" s="6" t="n">
        <v>20698</v>
      </c>
      <c r="G38" s="6" t="n">
        <v>0</v>
      </c>
      <c r="H38" s="6" t="n">
        <f aca="false">ROUND(C38/B38,0)</f>
        <v>4224</v>
      </c>
      <c r="I38" s="6" t="n">
        <f aca="false">ROUND(D38/B38,0)</f>
        <v>2278</v>
      </c>
      <c r="J38" s="6" t="n">
        <f aca="false">ROUND(F38/B38,0)</f>
        <v>668</v>
      </c>
      <c r="K38" s="7" t="n">
        <f aca="false">F38/C38</f>
        <v>0.158061535406914</v>
      </c>
    </row>
    <row r="39" customFormat="false" ht="15" hidden="false" customHeight="false" outlineLevel="0" collapsed="false">
      <c r="A39" s="6" t="s">
        <v>127</v>
      </c>
      <c r="B39" s="6" t="n">
        <v>31</v>
      </c>
      <c r="C39" s="6" t="n">
        <f aca="false">SUM(D39:G39)</f>
        <v>132008</v>
      </c>
      <c r="D39" s="6" t="n">
        <v>71598</v>
      </c>
      <c r="E39" s="6" t="n">
        <v>39686</v>
      </c>
      <c r="F39" s="6" t="n">
        <v>20724</v>
      </c>
      <c r="G39" s="6" t="n">
        <v>0</v>
      </c>
      <c r="H39" s="6" t="n">
        <f aca="false">ROUND(C39/B39,0)</f>
        <v>4258</v>
      </c>
      <c r="I39" s="6" t="n">
        <f aca="false">ROUND(D39/B39,0)</f>
        <v>2310</v>
      </c>
      <c r="J39" s="6" t="n">
        <f aca="false">ROUND(F39/B39,0)</f>
        <v>669</v>
      </c>
      <c r="K39" s="7" t="n">
        <f aca="false">F39/C39</f>
        <v>0.156990485425126</v>
      </c>
    </row>
    <row r="40" customFormat="false" ht="15" hidden="false" customHeight="false" outlineLevel="0" collapsed="false">
      <c r="A40" s="6" t="s">
        <v>128</v>
      </c>
      <c r="B40" s="6" t="n">
        <v>30</v>
      </c>
      <c r="C40" s="6" t="n">
        <f aca="false">SUM(D40:G40)</f>
        <v>110460</v>
      </c>
      <c r="D40" s="6" t="n">
        <v>53172</v>
      </c>
      <c r="E40" s="6" t="n">
        <v>37182</v>
      </c>
      <c r="F40" s="6" t="n">
        <v>20106</v>
      </c>
      <c r="G40" s="6" t="n">
        <v>0</v>
      </c>
      <c r="H40" s="6" t="n">
        <f aca="false">ROUND(C40/B40,0)</f>
        <v>3682</v>
      </c>
      <c r="I40" s="6" t="n">
        <f aca="false">ROUND(D40/B40,0)</f>
        <v>1772</v>
      </c>
      <c r="J40" s="6" t="n">
        <f aca="false">ROUND(F40/B40,0)</f>
        <v>670</v>
      </c>
      <c r="K40" s="7" t="n">
        <f aca="false">F40/C40</f>
        <v>0.182020640956002</v>
      </c>
    </row>
    <row r="41" customFormat="false" ht="15" hidden="false" customHeight="false" outlineLevel="0" collapsed="false">
      <c r="A41" s="6" t="s">
        <v>129</v>
      </c>
      <c r="B41" s="6" t="n">
        <v>31</v>
      </c>
      <c r="C41" s="6" t="n">
        <f aca="false">SUM(D41:G41)</f>
        <v>145145</v>
      </c>
      <c r="D41" s="6" t="n">
        <v>78945</v>
      </c>
      <c r="E41" s="6" t="n">
        <v>42470</v>
      </c>
      <c r="F41" s="6" t="n">
        <v>23730</v>
      </c>
      <c r="G41" s="6" t="n">
        <v>0</v>
      </c>
      <c r="H41" s="6" t="n">
        <f aca="false">ROUND(C41/B41,0)</f>
        <v>4682</v>
      </c>
      <c r="I41" s="6" t="n">
        <f aca="false">ROUND(D41/B41,0)</f>
        <v>2547</v>
      </c>
      <c r="J41" s="6" t="n">
        <f aca="false">ROUND(F41/B41,0)</f>
        <v>765</v>
      </c>
      <c r="K41" s="7" t="n">
        <f aca="false">F41/C41</f>
        <v>0.16349168073306</v>
      </c>
    </row>
    <row r="42" customFormat="false" ht="15" hidden="false" customHeight="false" outlineLevel="0" collapsed="false">
      <c r="A42" s="6" t="s">
        <v>130</v>
      </c>
      <c r="B42" s="6" t="n">
        <v>30</v>
      </c>
      <c r="C42" s="6" t="n">
        <f aca="false">SUM(D42:G42)</f>
        <v>133799</v>
      </c>
      <c r="D42" s="6" t="n">
        <v>70343</v>
      </c>
      <c r="E42" s="6" t="n">
        <v>41176</v>
      </c>
      <c r="F42" s="6" t="n">
        <v>22280</v>
      </c>
      <c r="G42" s="6" t="n">
        <v>0</v>
      </c>
      <c r="H42" s="6" t="n">
        <f aca="false">ROUND(C42/B42,0)</f>
        <v>4460</v>
      </c>
      <c r="I42" s="6" t="n">
        <f aca="false">ROUND(D42/B42,0)</f>
        <v>2345</v>
      </c>
      <c r="J42" s="6" t="n">
        <f aca="false">ROUND(F42/B42,0)</f>
        <v>743</v>
      </c>
      <c r="K42" s="7" t="n">
        <f aca="false">F42/C42</f>
        <v>0.16651843436797</v>
      </c>
    </row>
    <row r="43" customFormat="false" ht="15" hidden="false" customHeight="false" outlineLevel="0" collapsed="false">
      <c r="A43" s="6" t="s">
        <v>131</v>
      </c>
      <c r="B43" s="6" t="n">
        <v>31</v>
      </c>
      <c r="C43" s="6" t="n">
        <f aca="false">SUM(D43:G43)</f>
        <v>189204</v>
      </c>
      <c r="D43" s="6" t="n">
        <v>122881</v>
      </c>
      <c r="E43" s="6" t="n">
        <v>43484</v>
      </c>
      <c r="F43" s="6" t="n">
        <v>22839</v>
      </c>
      <c r="G43" s="6" t="n">
        <v>0</v>
      </c>
      <c r="H43" s="6" t="n">
        <f aca="false">ROUND(C43/B43,0)</f>
        <v>6103</v>
      </c>
      <c r="I43" s="6" t="n">
        <f aca="false">ROUND(D43/B43,0)</f>
        <v>3964</v>
      </c>
      <c r="J43" s="6" t="n">
        <f aca="false">ROUND(F43/B43,0)</f>
        <v>737</v>
      </c>
      <c r="K43" s="7" t="n">
        <f aca="false">F43/C43</f>
        <v>0.120710978626245</v>
      </c>
    </row>
    <row r="44" customFormat="false" ht="15" hidden="false" customHeight="false" outlineLevel="0" collapsed="false">
      <c r="A44" s="6" t="s">
        <v>132</v>
      </c>
      <c r="B44" s="6" t="n">
        <v>31</v>
      </c>
      <c r="C44" s="6" t="n">
        <f aca="false">SUM(D44:G44)</f>
        <v>195013</v>
      </c>
      <c r="D44" s="6" t="n">
        <v>134556</v>
      </c>
      <c r="E44" s="6" t="n">
        <v>37701</v>
      </c>
      <c r="F44" s="6" t="n">
        <v>22756</v>
      </c>
      <c r="G44" s="6" t="n">
        <v>0</v>
      </c>
      <c r="H44" s="6" t="n">
        <f aca="false">ROUND(C44/B44,0)</f>
        <v>6291</v>
      </c>
      <c r="I44" s="6" t="n">
        <f aca="false">ROUND(D44/B44,0)</f>
        <v>4341</v>
      </c>
      <c r="J44" s="6" t="n">
        <f aca="false">ROUND(F44/B44,0)</f>
        <v>734</v>
      </c>
      <c r="K44" s="7" t="n">
        <f aca="false">F44/C44</f>
        <v>0.116689656586997</v>
      </c>
    </row>
    <row r="45" customFormat="false" ht="15" hidden="false" customHeight="false" outlineLevel="0" collapsed="false">
      <c r="A45" s="6" t="s">
        <v>133</v>
      </c>
      <c r="B45" s="6" t="n">
        <v>28</v>
      </c>
      <c r="C45" s="6" t="n">
        <f aca="false">SUM(D45:G45)</f>
        <v>108962</v>
      </c>
      <c r="D45" s="6" t="n">
        <v>53116</v>
      </c>
      <c r="E45" s="6" t="n">
        <v>33311</v>
      </c>
      <c r="F45" s="6" t="n">
        <v>22535</v>
      </c>
      <c r="G45" s="6" t="n">
        <v>0</v>
      </c>
      <c r="H45" s="6" t="n">
        <f aca="false">ROUND(C45/B45,0)</f>
        <v>3892</v>
      </c>
      <c r="I45" s="6" t="n">
        <f aca="false">ROUND(D45/B45,0)</f>
        <v>1897</v>
      </c>
      <c r="J45" s="6" t="n">
        <f aca="false">ROUND(F45/B45,0)</f>
        <v>805</v>
      </c>
      <c r="K45" s="7" t="n">
        <f aca="false">F45/C45</f>
        <v>0.206815219984949</v>
      </c>
    </row>
    <row r="46" customFormat="false" ht="15" hidden="false" customHeight="false" outlineLevel="0" collapsed="false">
      <c r="A46" s="6" t="s">
        <v>134</v>
      </c>
      <c r="B46" s="6" t="n">
        <v>31</v>
      </c>
      <c r="C46" s="6" t="n">
        <f aca="false">SUM(D46:G46)</f>
        <v>134210</v>
      </c>
      <c r="D46" s="6" t="n">
        <v>63624</v>
      </c>
      <c r="E46" s="6" t="n">
        <v>40449</v>
      </c>
      <c r="F46" s="6" t="n">
        <v>30137</v>
      </c>
      <c r="G46" s="6" t="n">
        <v>0</v>
      </c>
      <c r="H46" s="6" t="n">
        <f aca="false">ROUND(C46/B46,0)</f>
        <v>4329</v>
      </c>
      <c r="I46" s="6" t="n">
        <f aca="false">ROUND(D46/B46,0)</f>
        <v>2052</v>
      </c>
      <c r="J46" s="6" t="n">
        <f aca="false">ROUND(F46/B46,0)</f>
        <v>972</v>
      </c>
      <c r="K46" s="7" t="n">
        <f aca="false">F46/C46</f>
        <v>0.224551076670889</v>
      </c>
    </row>
    <row r="47" customFormat="false" ht="15" hidden="false" customHeight="false" outlineLevel="0" collapsed="false">
      <c r="A47" s="6" t="s">
        <v>135</v>
      </c>
      <c r="B47" s="6" t="n">
        <v>30</v>
      </c>
      <c r="C47" s="6" t="n">
        <f aca="false">SUM(D47:G47)</f>
        <v>153454</v>
      </c>
      <c r="D47" s="6" t="n">
        <v>93558</v>
      </c>
      <c r="E47" s="6" t="n">
        <v>36041</v>
      </c>
      <c r="F47" s="6" t="n">
        <v>23855</v>
      </c>
      <c r="G47" s="6" t="n">
        <v>0</v>
      </c>
      <c r="H47" s="6" t="n">
        <f aca="false">ROUND(C47/B47,0)</f>
        <v>5115</v>
      </c>
      <c r="I47" s="6" t="n">
        <f aca="false">ROUND(D47/B47,0)</f>
        <v>3119</v>
      </c>
      <c r="J47" s="6" t="n">
        <f aca="false">ROUND(F47/B47,0)</f>
        <v>795</v>
      </c>
      <c r="K47" s="7" t="n">
        <f aca="false">F47/C47</f>
        <v>0.155453751612861</v>
      </c>
    </row>
    <row r="48" customFormat="false" ht="15" hidden="false" customHeight="false" outlineLevel="0" collapsed="false">
      <c r="A48" s="6" t="s">
        <v>136</v>
      </c>
      <c r="B48" s="6" t="n">
        <v>31</v>
      </c>
      <c r="C48" s="6" t="n">
        <f aca="false">SUM(D48:G48)</f>
        <v>127206</v>
      </c>
      <c r="D48" s="6" t="n">
        <v>60919</v>
      </c>
      <c r="E48" s="6" t="n">
        <v>38527</v>
      </c>
      <c r="F48" s="6" t="n">
        <v>27760</v>
      </c>
      <c r="G48" s="6" t="n">
        <v>0</v>
      </c>
      <c r="H48" s="6" t="n">
        <f aca="false">ROUND(C48/B48,0)</f>
        <v>4103</v>
      </c>
      <c r="I48" s="6" t="n">
        <f aca="false">ROUND(D48/B48,0)</f>
        <v>1965</v>
      </c>
      <c r="J48" s="6" t="n">
        <f aca="false">ROUND(F48/B48,0)</f>
        <v>895</v>
      </c>
      <c r="K48" s="7" t="n">
        <f aca="false">F48/C48</f>
        <v>0.218228699904093</v>
      </c>
    </row>
    <row r="49" customFormat="false" ht="15" hidden="false" customHeight="false" outlineLevel="0" collapsed="false">
      <c r="A49" s="6" t="s">
        <v>137</v>
      </c>
      <c r="B49" s="6" t="n">
        <v>30</v>
      </c>
      <c r="C49" s="6" t="n">
        <f aca="false">SUM(D49:G49)</f>
        <v>147351</v>
      </c>
      <c r="D49" s="6" t="n">
        <v>85338</v>
      </c>
      <c r="E49" s="6" t="n">
        <v>36802</v>
      </c>
      <c r="F49" s="6" t="n">
        <v>25211</v>
      </c>
      <c r="G49" s="6" t="n">
        <v>0</v>
      </c>
      <c r="H49" s="6" t="n">
        <f aca="false">ROUND(C49/B49,0)</f>
        <v>4912</v>
      </c>
      <c r="I49" s="6" t="n">
        <f aca="false">ROUND(D49/B49,0)</f>
        <v>2845</v>
      </c>
      <c r="J49" s="6" t="n">
        <f aca="false">ROUND(F49/B49,0)</f>
        <v>840</v>
      </c>
      <c r="K49" s="7" t="n">
        <f aca="false">F49/C49</f>
        <v>0.171094868714837</v>
      </c>
    </row>
    <row r="50" customFormat="false" ht="15" hidden="false" customHeight="false" outlineLevel="0" collapsed="false">
      <c r="A50" s="6" t="s">
        <v>138</v>
      </c>
      <c r="B50" s="6" t="n">
        <v>31</v>
      </c>
      <c r="C50" s="6" t="n">
        <f aca="false">SUM(D50:G50)</f>
        <v>142640</v>
      </c>
      <c r="D50" s="6" t="n">
        <v>75597</v>
      </c>
      <c r="E50" s="6" t="n">
        <v>39473</v>
      </c>
      <c r="F50" s="6" t="n">
        <v>27570</v>
      </c>
      <c r="G50" s="6" t="n">
        <v>0</v>
      </c>
      <c r="H50" s="6" t="n">
        <f aca="false">ROUND(C50/B50,0)</f>
        <v>4601</v>
      </c>
      <c r="I50" s="6" t="n">
        <f aca="false">ROUND(D50/B50,0)</f>
        <v>2439</v>
      </c>
      <c r="J50" s="6" t="n">
        <f aca="false">ROUND(F50/B50,0)</f>
        <v>889</v>
      </c>
      <c r="K50" s="7" t="n">
        <f aca="false">F50/C50</f>
        <v>0.193283791362872</v>
      </c>
    </row>
    <row r="51" customFormat="false" ht="15" hidden="false" customHeight="false" outlineLevel="0" collapsed="false">
      <c r="A51" s="6" t="s">
        <v>139</v>
      </c>
      <c r="B51" s="6" t="n">
        <v>31</v>
      </c>
      <c r="C51" s="6" t="n">
        <f aca="false">SUM(D51:G51)</f>
        <v>148731</v>
      </c>
      <c r="D51" s="6" t="n">
        <v>83520</v>
      </c>
      <c r="E51" s="6" t="n">
        <v>38428</v>
      </c>
      <c r="F51" s="6" t="n">
        <v>26783</v>
      </c>
      <c r="G51" s="6" t="n">
        <v>0</v>
      </c>
      <c r="H51" s="6" t="n">
        <f aca="false">ROUND(C51/B51,0)</f>
        <v>4798</v>
      </c>
      <c r="I51" s="6" t="n">
        <f aca="false">ROUND(D51/B51,0)</f>
        <v>2694</v>
      </c>
      <c r="J51" s="6" t="n">
        <f aca="false">ROUND(F51/B51,0)</f>
        <v>864</v>
      </c>
      <c r="K51" s="7" t="n">
        <f aca="false">F51/C51</f>
        <v>0.18007678291681</v>
      </c>
    </row>
    <row r="52" customFormat="false" ht="15" hidden="false" customHeight="false" outlineLevel="0" collapsed="false">
      <c r="A52" s="6" t="s">
        <v>140</v>
      </c>
      <c r="B52" s="6" t="n">
        <v>30</v>
      </c>
      <c r="C52" s="6" t="n">
        <f aca="false">SUM(D52:G52)</f>
        <v>126483</v>
      </c>
      <c r="D52" s="6" t="n">
        <v>62622</v>
      </c>
      <c r="E52" s="6" t="n">
        <v>37791</v>
      </c>
      <c r="F52" s="6" t="n">
        <v>26070</v>
      </c>
      <c r="G52" s="6" t="n">
        <v>0</v>
      </c>
      <c r="H52" s="6" t="n">
        <f aca="false">ROUND(C52/B52,0)</f>
        <v>4216</v>
      </c>
      <c r="I52" s="6" t="n">
        <f aca="false">ROUND(D52/B52,0)</f>
        <v>2087</v>
      </c>
      <c r="J52" s="6" t="n">
        <f aca="false">ROUND(F52/B52,0)</f>
        <v>869</v>
      </c>
      <c r="K52" s="7" t="n">
        <f aca="false">F52/C52</f>
        <v>0.206114655724485</v>
      </c>
    </row>
    <row r="53" customFormat="false" ht="15" hidden="false" customHeight="false" outlineLevel="0" collapsed="false">
      <c r="A53" s="6" t="s">
        <v>141</v>
      </c>
      <c r="B53" s="6" t="n">
        <v>31</v>
      </c>
      <c r="C53" s="6" t="n">
        <f aca="false">SUM(D53:G53)</f>
        <v>154690</v>
      </c>
      <c r="D53" s="6" t="n">
        <v>86684</v>
      </c>
      <c r="E53" s="6" t="n">
        <v>40279</v>
      </c>
      <c r="F53" s="6" t="n">
        <v>27727</v>
      </c>
      <c r="G53" s="6" t="n">
        <v>0</v>
      </c>
      <c r="H53" s="6" t="n">
        <f aca="false">ROUND(C53/B53,0)</f>
        <v>4990</v>
      </c>
      <c r="I53" s="6" t="n">
        <f aca="false">ROUND(D53/B53,0)</f>
        <v>2796</v>
      </c>
      <c r="J53" s="6" t="n">
        <f aca="false">ROUND(F53/B53,0)</f>
        <v>894</v>
      </c>
      <c r="K53" s="7" t="n">
        <f aca="false">F53/C53</f>
        <v>0.1792423556791</v>
      </c>
    </row>
    <row r="54" customFormat="false" ht="15" hidden="false" customHeight="false" outlineLevel="0" collapsed="false">
      <c r="A54" s="6" t="s">
        <v>142</v>
      </c>
      <c r="B54" s="6" t="n">
        <v>30</v>
      </c>
      <c r="C54" s="6" t="n">
        <f aca="false">SUM(D54:G54)</f>
        <v>142060</v>
      </c>
      <c r="D54" s="6" t="n">
        <v>75042</v>
      </c>
      <c r="E54" s="6" t="n">
        <v>39430</v>
      </c>
      <c r="F54" s="6" t="n">
        <v>27588</v>
      </c>
      <c r="G54" s="6" t="n">
        <v>0</v>
      </c>
      <c r="H54" s="6" t="n">
        <f aca="false">ROUND(C54/B54,0)</f>
        <v>4735</v>
      </c>
      <c r="I54" s="6" t="n">
        <f aca="false">ROUND(D54/B54,0)</f>
        <v>2501</v>
      </c>
      <c r="J54" s="6" t="n">
        <f aca="false">ROUND(F54/B54,0)</f>
        <v>920</v>
      </c>
      <c r="K54" s="7" t="n">
        <f aca="false">F54/C54</f>
        <v>0.194199633957483</v>
      </c>
    </row>
    <row r="55" customFormat="false" ht="15" hidden="false" customHeight="false" outlineLevel="0" collapsed="false">
      <c r="A55" s="6" t="s">
        <v>143</v>
      </c>
      <c r="B55" s="6" t="n">
        <v>31</v>
      </c>
      <c r="C55" s="6" t="n">
        <f aca="false">SUM(D55:G55)</f>
        <v>197407</v>
      </c>
      <c r="D55" s="6" t="n">
        <v>129853</v>
      </c>
      <c r="E55" s="6" t="n">
        <v>41089</v>
      </c>
      <c r="F55" s="6" t="n">
        <v>26465</v>
      </c>
      <c r="G55" s="6" t="n">
        <v>0</v>
      </c>
      <c r="H55" s="6" t="n">
        <f aca="false">ROUND(C55/B55,0)</f>
        <v>6368</v>
      </c>
      <c r="I55" s="6" t="n">
        <f aca="false">ROUND(D55/B55,0)</f>
        <v>4189</v>
      </c>
      <c r="J55" s="6" t="n">
        <f aca="false">ROUND(F55/B55,0)</f>
        <v>854</v>
      </c>
      <c r="K55" s="7" t="n">
        <f aca="false">F55/C55</f>
        <v>0.13406312846049</v>
      </c>
    </row>
    <row r="56" customFormat="false" ht="15" hidden="false" customHeight="false" outlineLevel="0" collapsed="false">
      <c r="A56" s="6" t="s">
        <v>144</v>
      </c>
      <c r="B56" s="6" t="n">
        <v>31</v>
      </c>
      <c r="C56" s="6" t="n">
        <f aca="false">SUM(D56:G56)</f>
        <v>206258</v>
      </c>
      <c r="D56" s="6" t="n">
        <v>139952</v>
      </c>
      <c r="E56" s="6" t="n">
        <v>39004</v>
      </c>
      <c r="F56" s="6" t="n">
        <v>27302</v>
      </c>
      <c r="G56" s="6" t="n">
        <v>0</v>
      </c>
      <c r="H56" s="6" t="n">
        <f aca="false">ROUND(C56/B56,0)</f>
        <v>6653</v>
      </c>
      <c r="I56" s="6" t="n">
        <f aca="false">ROUND(D56/B56,0)</f>
        <v>4515</v>
      </c>
      <c r="J56" s="6" t="n">
        <f aca="false">ROUND(F56/B56,0)</f>
        <v>881</v>
      </c>
      <c r="K56" s="7" t="n">
        <f aca="false">F56/C56</f>
        <v>0.132368199051673</v>
      </c>
    </row>
    <row r="57" customFormat="false" ht="15" hidden="false" customHeight="false" outlineLevel="0" collapsed="false">
      <c r="A57" s="6" t="s">
        <v>145</v>
      </c>
      <c r="B57" s="6" t="n">
        <v>28</v>
      </c>
      <c r="C57" s="6" t="n">
        <f aca="false">SUM(D57:G57)</f>
        <v>116707</v>
      </c>
      <c r="D57" s="6" t="n">
        <v>55260</v>
      </c>
      <c r="E57" s="6" t="n">
        <v>35814</v>
      </c>
      <c r="F57" s="6" t="n">
        <v>25633</v>
      </c>
      <c r="G57" s="6" t="n">
        <v>0</v>
      </c>
      <c r="H57" s="6" t="n">
        <f aca="false">ROUND(C57/B57,0)</f>
        <v>4168</v>
      </c>
      <c r="I57" s="6" t="n">
        <f aca="false">ROUND(D57/B57,0)</f>
        <v>1974</v>
      </c>
      <c r="J57" s="6" t="n">
        <f aca="false">ROUND(F57/B57,0)</f>
        <v>915</v>
      </c>
      <c r="K57" s="7" t="n">
        <f aca="false">F57/C57</f>
        <v>0.219635497442313</v>
      </c>
    </row>
    <row r="58" customFormat="false" ht="15" hidden="false" customHeight="false" outlineLevel="0" collapsed="false">
      <c r="A58" s="6" t="s">
        <v>146</v>
      </c>
      <c r="B58" s="6" t="n">
        <v>31</v>
      </c>
      <c r="C58" s="6" t="n">
        <f aca="false">SUM(D58:G58)</f>
        <v>145423</v>
      </c>
      <c r="D58" s="6" t="n">
        <v>77592</v>
      </c>
      <c r="E58" s="6" t="n">
        <v>39313</v>
      </c>
      <c r="F58" s="6" t="n">
        <v>28518</v>
      </c>
      <c r="G58" s="6" t="n">
        <v>0</v>
      </c>
      <c r="H58" s="6" t="n">
        <f aca="false">ROUND(C58/B58,0)</f>
        <v>4691</v>
      </c>
      <c r="I58" s="6" t="n">
        <f aca="false">ROUND(D58/B58,0)</f>
        <v>2503</v>
      </c>
      <c r="J58" s="6" t="n">
        <f aca="false">ROUND(F58/B58,0)</f>
        <v>920</v>
      </c>
      <c r="K58" s="7" t="n">
        <f aca="false">F58/C58</f>
        <v>0.196103780007289</v>
      </c>
    </row>
    <row r="59" customFormat="false" ht="15" hidden="false" customHeight="false" outlineLevel="0" collapsed="false">
      <c r="A59" s="6" t="s">
        <v>147</v>
      </c>
      <c r="B59" s="6" t="n">
        <v>30</v>
      </c>
      <c r="C59" s="6" t="n">
        <f aca="false">SUM(D59:G59)</f>
        <v>148484</v>
      </c>
      <c r="D59" s="6" t="n">
        <v>83811</v>
      </c>
      <c r="E59" s="6" t="n">
        <v>37433</v>
      </c>
      <c r="F59" s="6" t="n">
        <v>27240</v>
      </c>
      <c r="G59" s="6" t="n">
        <v>0</v>
      </c>
      <c r="H59" s="6" t="n">
        <f aca="false">ROUND(C59/B59,0)</f>
        <v>4949</v>
      </c>
      <c r="I59" s="6" t="n">
        <f aca="false">ROUND(D59/B59,0)</f>
        <v>2794</v>
      </c>
      <c r="J59" s="6" t="n">
        <f aca="false">ROUND(F59/B59,0)</f>
        <v>908</v>
      </c>
      <c r="K59" s="7" t="n">
        <f aca="false">F59/C59</f>
        <v>0.183454109533687</v>
      </c>
    </row>
    <row r="60" customFormat="false" ht="15" hidden="false" customHeight="false" outlineLevel="0" collapsed="false">
      <c r="A60" s="6" t="s">
        <v>148</v>
      </c>
      <c r="B60" s="6" t="n">
        <v>31</v>
      </c>
      <c r="C60" s="6" t="n">
        <f aca="false">SUM(D60:G60)</f>
        <v>131942</v>
      </c>
      <c r="D60" s="6" t="n">
        <v>66756</v>
      </c>
      <c r="E60" s="6" t="n">
        <v>37489</v>
      </c>
      <c r="F60" s="6" t="n">
        <v>27697</v>
      </c>
      <c r="G60" s="6" t="n">
        <v>0</v>
      </c>
      <c r="H60" s="6" t="n">
        <f aca="false">ROUND(C60/B60,0)</f>
        <v>4256</v>
      </c>
      <c r="I60" s="6" t="n">
        <f aca="false">ROUND(D60/B60,0)</f>
        <v>2153</v>
      </c>
      <c r="J60" s="6" t="n">
        <f aca="false">ROUND(F60/B60,0)</f>
        <v>893</v>
      </c>
      <c r="K60" s="7" t="n">
        <f aca="false">F60/C60</f>
        <v>0.20991799427021</v>
      </c>
    </row>
    <row r="61" customFormat="false" ht="15" hidden="false" customHeight="false" outlineLevel="0" collapsed="false">
      <c r="A61" s="9" t="s">
        <v>149</v>
      </c>
      <c r="B61" s="9" t="n">
        <f aca="false">SUM(B49:B60)</f>
        <v>365</v>
      </c>
      <c r="C61" s="9" t="n">
        <f aca="false">SUM(C49:C60)</f>
        <v>1808176</v>
      </c>
      <c r="D61" s="9" t="n">
        <f aca="false">SUM(D49:D60)</f>
        <v>1022027</v>
      </c>
      <c r="E61" s="9" t="n">
        <f aca="false">SUM(E49:E60)</f>
        <v>462345</v>
      </c>
      <c r="F61" s="9" t="n">
        <f aca="false">SUM(F49:F60)</f>
        <v>323804</v>
      </c>
      <c r="G61" s="9" t="n">
        <f aca="false">SUM(G49:G60)</f>
        <v>0</v>
      </c>
      <c r="H61" s="9" t="n">
        <f aca="false">ROUND(C61/B61,0)</f>
        <v>4954</v>
      </c>
      <c r="I61" s="9" t="n">
        <f aca="false">ROUND(D61/B61,0)</f>
        <v>2800</v>
      </c>
      <c r="J61" s="9" t="n">
        <f aca="false">ROUND(F61/B61,0)</f>
        <v>887</v>
      </c>
      <c r="K61" s="10" t="n">
        <f aca="false">F61/C61</f>
        <v>0.179077700400846</v>
      </c>
    </row>
    <row r="63" customFormat="false" ht="15" hidden="false" customHeight="false" outlineLevel="0" collapsed="false">
      <c r="A63" s="8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19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19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152</v>
      </c>
    </row>
    <row r="4" customFormat="false" ht="30" hidden="false" customHeight="true" outlineLevel="0" collapsed="false">
      <c r="A4" s="5" t="s">
        <v>153</v>
      </c>
      <c r="B4" s="5" t="s">
        <v>154</v>
      </c>
      <c r="C4" s="5" t="s">
        <v>155</v>
      </c>
      <c r="D4" s="5" t="s">
        <v>156</v>
      </c>
      <c r="E4" s="5" t="s">
        <v>50</v>
      </c>
      <c r="F4" s="5" t="s">
        <v>54</v>
      </c>
      <c r="G4" s="5" t="s">
        <v>55</v>
      </c>
      <c r="H4" s="5" t="s">
        <v>56</v>
      </c>
      <c r="I4" s="5" t="s">
        <v>57</v>
      </c>
      <c r="J4" s="5" t="s">
        <v>157</v>
      </c>
    </row>
    <row r="5" customFormat="false" ht="15" hidden="false" customHeight="false" outlineLevel="0" collapsed="false">
      <c r="A5" s="11" t="s">
        <v>29</v>
      </c>
      <c r="B5" s="6" t="s">
        <v>158</v>
      </c>
      <c r="C5" s="6" t="s">
        <v>159</v>
      </c>
      <c r="D5" s="6" t="s">
        <v>160</v>
      </c>
      <c r="E5" s="6" t="n">
        <f aca="false">ROUND(AVERAGE('2. Serie INVIAS estacion'!H41:H44),0)</f>
        <v>6676</v>
      </c>
      <c r="F5" s="6" t="n">
        <f aca="false">ROUND(AVERAGE('2. Serie INVIAS estacion'!L41:L44),0)</f>
        <v>2430</v>
      </c>
      <c r="G5" s="6" t="n">
        <f aca="false">ROUND(AVERAGE('2. Serie INVIAS estacion'!M41:M44),0)</f>
        <v>539</v>
      </c>
      <c r="H5" s="6" t="n">
        <f aca="false">ROUND(AVERAGE('2. Serie INVIAS estacion'!N41:N44),0)</f>
        <v>3708</v>
      </c>
      <c r="I5" s="7" t="n">
        <f aca="false">H5/E5</f>
        <v>0.555422408627921</v>
      </c>
      <c r="J5" s="6" t="s">
        <v>161</v>
      </c>
    </row>
    <row r="6" customFormat="false" ht="15" hidden="false" customHeight="false" outlineLevel="0" collapsed="false">
      <c r="A6" s="11" t="s">
        <v>162</v>
      </c>
      <c r="B6" s="6" t="s">
        <v>158</v>
      </c>
      <c r="C6" s="6" t="s">
        <v>163</v>
      </c>
      <c r="D6" s="6" t="s">
        <v>164</v>
      </c>
      <c r="E6" s="6" t="n">
        <f aca="false">ROUND(AVERAGE('2. Serie INVIAS estacion'!H22:H24),0)</f>
        <v>7043</v>
      </c>
      <c r="F6" s="6" t="n">
        <f aca="false">ROUND(AVERAGE('2. Serie INVIAS estacion'!L22:L24),0)</f>
        <v>2588</v>
      </c>
      <c r="G6" s="6" t="n">
        <f aca="false">ROUND(AVERAGE('2. Serie INVIAS estacion'!M22:M24),0)</f>
        <v>634</v>
      </c>
      <c r="H6" s="6" t="n">
        <f aca="false">ROUND(AVERAGE('2. Serie INVIAS estacion'!N22:N24),0)</f>
        <v>3821</v>
      </c>
      <c r="I6" s="7" t="n">
        <f aca="false">H6/E6</f>
        <v>0.542524492403805</v>
      </c>
      <c r="J6" s="6" t="s">
        <v>161</v>
      </c>
    </row>
    <row r="7" customFormat="false" ht="15" hidden="false" customHeight="false" outlineLevel="0" collapsed="false">
      <c r="A7" s="11" t="s">
        <v>31</v>
      </c>
      <c r="B7" s="6" t="s">
        <v>158</v>
      </c>
      <c r="C7" s="6" t="s">
        <v>165</v>
      </c>
      <c r="D7" s="6" t="s">
        <v>166</v>
      </c>
      <c r="E7" s="6" t="n">
        <f aca="false">'3. Peaje Cajamarca 2019'!G17</f>
        <v>6351</v>
      </c>
      <c r="F7" s="6" t="n">
        <f aca="false">'3. Peaje Cajamarca 2019'!H17</f>
        <v>2232</v>
      </c>
      <c r="G7" s="6" t="n">
        <f aca="false">ROUND('3. Peaje Cajamarca 2019'!E17/'3. Peaje Cajamarca 2019'!B17,0)</f>
        <v>2027</v>
      </c>
      <c r="H7" s="6" t="n">
        <f aca="false">'3. Peaje Cajamarca 2019'!I17</f>
        <v>2092</v>
      </c>
      <c r="I7" s="7" t="n">
        <f aca="false">H7/E7</f>
        <v>0.329396945362935</v>
      </c>
      <c r="J7" s="6" t="s">
        <v>167</v>
      </c>
    </row>
    <row r="8" customFormat="false" ht="15" hidden="false" customHeight="false" outlineLevel="0" collapsed="false">
      <c r="A8" s="11" t="s">
        <v>33</v>
      </c>
      <c r="B8" s="6" t="s">
        <v>168</v>
      </c>
      <c r="C8" s="6" t="s">
        <v>169</v>
      </c>
      <c r="D8" s="6" t="s">
        <v>170</v>
      </c>
      <c r="E8" s="6" t="n">
        <f aca="false">'4. Peaje Cocora 21-26'!H61</f>
        <v>4954</v>
      </c>
      <c r="F8" s="6" t="n">
        <f aca="false">'4. Peaje Cocora 21-26'!I61</f>
        <v>2800</v>
      </c>
      <c r="G8" s="6" t="n">
        <f aca="false">ROUND('4. Peaje Cocora 21-26'!E61/'4. Peaje Cocora 21-26'!B61,0)</f>
        <v>1267</v>
      </c>
      <c r="H8" s="6" t="n">
        <f aca="false">'4. Peaje Cocora 21-26'!J61</f>
        <v>887</v>
      </c>
      <c r="I8" s="7" t="n">
        <f aca="false">H8/E8</f>
        <v>0.179047234557933</v>
      </c>
      <c r="J8" s="6" t="s">
        <v>167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12" t="s">
        <v>171</v>
      </c>
    </row>
    <row r="13" customFormat="false" ht="15" hidden="false" customHeight="false" outlineLevel="0" collapsed="false">
      <c r="A13" s="8" t="s">
        <v>172</v>
      </c>
    </row>
    <row r="14" customFormat="false" ht="15" hidden="false" customHeight="false" outlineLevel="0" collapsed="false">
      <c r="A14" s="8" t="s">
        <v>173</v>
      </c>
    </row>
    <row r="15" customFormat="false" ht="15" hidden="false" customHeight="false" outlineLevel="0" collapsed="false">
      <c r="A15" s="8" t="s">
        <v>174</v>
      </c>
    </row>
    <row r="16" customFormat="false" ht="15" hidden="false" customHeight="false" outlineLevel="0" collapsed="false">
      <c r="A16" s="8"/>
    </row>
    <row r="17" customFormat="false" ht="15" hidden="false" customHeight="false" outlineLevel="0" collapsed="false">
      <c r="A17" s="8" t="s">
        <v>175</v>
      </c>
    </row>
    <row r="18" customFormat="false" ht="15" hidden="false" customHeight="false" outlineLevel="0" collapsed="false">
      <c r="A18" s="8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74"/>
  </cols>
  <sheetData>
    <row r="1" customFormat="false" ht="17.35" hidden="false" customHeight="false" outlineLevel="0" collapsed="false">
      <c r="A1" s="1" t="s">
        <v>177</v>
      </c>
    </row>
    <row r="2" customFormat="false" ht="15" hidden="false" customHeight="false" outlineLevel="0" collapsed="false">
      <c r="A2" s="2" t="s">
        <v>178</v>
      </c>
    </row>
    <row r="4" customFormat="false" ht="15" hidden="false" customHeight="false" outlineLevel="0" collapsed="false">
      <c r="A4" s="4" t="s">
        <v>179</v>
      </c>
    </row>
    <row r="5" customFormat="false" ht="15" hidden="false" customHeight="false" outlineLevel="0" collapsed="false">
      <c r="A5" s="6" t="s">
        <v>180</v>
      </c>
      <c r="B5" s="13" t="s">
        <v>31</v>
      </c>
      <c r="C5" s="11" t="s">
        <v>7</v>
      </c>
      <c r="D5" s="14" t="s">
        <v>181</v>
      </c>
    </row>
    <row r="6" customFormat="false" ht="15" hidden="false" customHeight="false" outlineLevel="0" collapsed="false">
      <c r="A6" s="6" t="s">
        <v>182</v>
      </c>
      <c r="B6" s="6" t="n">
        <f aca="false">'5. Matriz consolidada'!H7</f>
        <v>2092</v>
      </c>
      <c r="C6" s="11" t="s">
        <v>5</v>
      </c>
      <c r="D6" s="14" t="s">
        <v>183</v>
      </c>
    </row>
    <row r="7" customFormat="false" ht="15" hidden="false" customHeight="false" outlineLevel="0" collapsed="false">
      <c r="A7" s="6" t="s">
        <v>184</v>
      </c>
      <c r="B7" s="6" t="n">
        <f aca="false">'5. Matriz consolidada'!H8</f>
        <v>887</v>
      </c>
      <c r="C7" s="11" t="s">
        <v>5</v>
      </c>
      <c r="D7" s="14" t="s">
        <v>185</v>
      </c>
    </row>
    <row r="8" customFormat="false" ht="15" hidden="false" customHeight="false" outlineLevel="0" collapsed="false">
      <c r="A8" s="6" t="s">
        <v>186</v>
      </c>
      <c r="B8" s="6" t="n">
        <f aca="false">'5. Matriz consolidada'!H5</f>
        <v>3708</v>
      </c>
      <c r="C8" s="11" t="s">
        <v>5</v>
      </c>
      <c r="D8" s="14" t="s">
        <v>187</v>
      </c>
    </row>
    <row r="9" customFormat="false" ht="15" hidden="false" customHeight="false" outlineLevel="0" collapsed="false">
      <c r="A9" s="6" t="s">
        <v>188</v>
      </c>
      <c r="B9" s="15" t="n">
        <v>0.9</v>
      </c>
      <c r="C9" s="11" t="s">
        <v>3</v>
      </c>
      <c r="D9" s="14" t="s">
        <v>189</v>
      </c>
    </row>
    <row r="10" customFormat="false" ht="15" hidden="false" customHeight="false" outlineLevel="0" collapsed="false">
      <c r="A10" s="6" t="s">
        <v>190</v>
      </c>
      <c r="B10" s="13" t="n">
        <v>74</v>
      </c>
      <c r="C10" s="11" t="s">
        <v>3</v>
      </c>
      <c r="D10" s="14" t="s">
        <v>191</v>
      </c>
    </row>
    <row r="12" customFormat="false" ht="15" hidden="false" customHeight="false" outlineLevel="0" collapsed="false">
      <c r="A12" s="4" t="s">
        <v>192</v>
      </c>
    </row>
    <row r="13" customFormat="false" ht="15" hidden="false" customHeight="false" outlineLevel="0" collapsed="false">
      <c r="A13" s="6" t="s">
        <v>193</v>
      </c>
      <c r="B13" s="16" t="n">
        <f aca="false">B6*$B$10</f>
        <v>154808</v>
      </c>
      <c r="C13" s="11" t="s">
        <v>5</v>
      </c>
      <c r="D13" s="14" t="s">
        <v>194</v>
      </c>
    </row>
    <row r="14" customFormat="false" ht="15" hidden="false" customHeight="false" outlineLevel="0" collapsed="false">
      <c r="A14" s="6" t="s">
        <v>195</v>
      </c>
      <c r="B14" s="16" t="n">
        <f aca="false">B13*365</f>
        <v>56504920</v>
      </c>
      <c r="C14" s="11" t="s">
        <v>5</v>
      </c>
      <c r="D14" s="14" t="s">
        <v>196</v>
      </c>
    </row>
    <row r="15" customFormat="false" ht="15" hidden="false" customHeight="false" outlineLevel="0" collapsed="false">
      <c r="A15" s="6" t="s">
        <v>197</v>
      </c>
      <c r="B15" s="16" t="n">
        <f aca="false">B14*$B$9</f>
        <v>50854428</v>
      </c>
      <c r="C15" s="11" t="s">
        <v>5</v>
      </c>
      <c r="D15" s="14" t="s">
        <v>198</v>
      </c>
    </row>
    <row r="16" customFormat="false" ht="15" hidden="false" customHeight="false" outlineLevel="0" collapsed="false">
      <c r="A16" s="6" t="s">
        <v>199</v>
      </c>
      <c r="B16" s="16" t="n">
        <f aca="false">B6-B7</f>
        <v>1205</v>
      </c>
      <c r="C16" s="11" t="s">
        <v>5</v>
      </c>
      <c r="D16" s="14" t="s">
        <v>200</v>
      </c>
    </row>
    <row r="17" customFormat="false" ht="15" hidden="false" customHeight="false" outlineLevel="0" collapsed="false">
      <c r="A17" s="6" t="s">
        <v>201</v>
      </c>
      <c r="B17" s="16" t="n">
        <f aca="false">B8</f>
        <v>3708</v>
      </c>
      <c r="C17" s="11" t="s">
        <v>5</v>
      </c>
      <c r="D17" s="14" t="s">
        <v>202</v>
      </c>
    </row>
    <row r="19" customFormat="false" ht="15" hidden="false" customHeight="false" outlineLevel="0" collapsed="false">
      <c r="A19" s="12" t="s">
        <v>203</v>
      </c>
    </row>
    <row r="20" customFormat="false" ht="15" hidden="false" customHeight="false" outlineLevel="0" collapsed="false">
      <c r="A20" s="8" t="s">
        <v>204</v>
      </c>
    </row>
    <row r="21" customFormat="false" ht="15" hidden="false" customHeight="false" outlineLevel="0" collapsed="false">
      <c r="A21" s="8" t="s">
        <v>205</v>
      </c>
    </row>
    <row r="22" customFormat="false" ht="15" hidden="false" customHeight="false" outlineLevel="0" collapsed="false">
      <c r="A22" s="8"/>
    </row>
    <row r="23" customFormat="false" ht="15" hidden="false" customHeight="false" outlineLevel="0" collapsed="false">
      <c r="A23" s="12" t="s">
        <v>206</v>
      </c>
    </row>
    <row r="24" customFormat="false" ht="15" hidden="false" customHeight="false" outlineLevel="0" collapsed="false">
      <c r="A24" s="8" t="s">
        <v>207</v>
      </c>
    </row>
    <row r="25" customFormat="false" ht="15" hidden="false" customHeight="false" outlineLevel="0" collapsed="false">
      <c r="A25" s="8" t="s">
        <v>208</v>
      </c>
    </row>
    <row r="26" customFormat="false" ht="15" hidden="false" customHeight="false" outlineLevel="0" collapsed="false">
      <c r="A26" s="8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2026-09-09T00:56:23Z</dcterms:created>
  <dc:creator>openpyxl</dc:creator>
  <dc:description/>
  <dc:language>en-US</dc:language>
  <cp:lastModifiedBy/>
  <dcterms:modified xsi:type="dcterms:W3CDTF">2026-09-09T00:56:23Z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