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etodo" sheetId="1" state="visible" r:id="rId3"/>
    <sheet name="2. Entradas" sheetId="2" state="visible" r:id="rId4"/>
    <sheet name="3. Tasa" sheetId="3" state="visible" r:id="rId5"/>
    <sheet name="4. Sensibilidad" sheetId="4" state="visible" r:id="rId6"/>
    <sheet name="5. Carga pesada" sheetId="5" state="visible" r:id="rId7"/>
    <sheet name="6. Serie del pas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<sst xmlns="http://schemas.openxmlformats.org/spreadsheetml/2006/main" count="172" uniqueCount="139">
  <si>
    <t xml:space="preserve">Análisis estadístico de la siniestralidad de vehículos pesados</t>
  </si>
  <si>
    <t xml:space="preserve">OE 5 · Actividad 4 · Semillero GEOPAV · Corredor Ibagué – Calarcá, Ruta Nacional 40, paso del Alto de La Línea</t>
  </si>
  <si>
    <t xml:space="preserve">LA FÓRMULA</t>
  </si>
  <si>
    <t xml:space="preserve">Tasa</t>
  </si>
  <si>
    <t xml:space="preserve">fallecidos / (TPD × 365 × L × años) × 10^8</t>
  </si>
  <si>
    <t xml:space="preserve">Unidad</t>
  </si>
  <si>
    <t xml:space="preserve">Fallecidos por cada 100 millones de vehículos-kilómetro recorridos.</t>
  </si>
  <si>
    <t xml:space="preserve">Por qué normalizar</t>
  </si>
  <si>
    <t xml:space="preserve">Contar muertos sin dividir por exposición es contar goles sin saber cuántos partidos se jugaron.</t>
  </si>
  <si>
    <t xml:space="preserve">LO QUE CAMBIÓ RESPECTO A LA MEMORIA METODOLÓGICA</t>
  </si>
  <si>
    <t xml:space="preserve">La memoria declara que la tasa no se puede publicar porque los fallecidos son 2015–2019</t>
  </si>
  <si>
    <t xml:space="preserve">y el aforo verificado es 2021–2026, de modo que no son divisibles entre sí. Eso era cierto</t>
  </si>
  <si>
    <t xml:space="preserve">cuando el único aforo disponible era el del peaje Cocora.</t>
  </si>
  <si>
    <t xml:space="preserve">Con la serie histórica de INVÍAS que trajo la Act 1, el aforo del paso es 2015–2018 de la</t>
  </si>
  <si>
    <t xml:space="preserve">MISMA estación y la MISMA vía. Mismo periodo, mismo tramo: la objeción queda resuelta y la</t>
  </si>
  <si>
    <t xml:space="preserve">tasa pasa de hipótesis a resultado.</t>
  </si>
  <si>
    <t xml:space="preserve">EL DESFASE QUE SÍ SIGUE EN PIE  [F]</t>
  </si>
  <si>
    <t xml:space="preserve">El Túnel de La Línea entró en operación el 4 de septiembre de 2020, con 8,6 km. La línea</t>
  </si>
  <si>
    <t xml:space="preserve">base describe el corredor ANTERIOR al túnel y por tanto SOBRESTIMA el riesgo del corredor</t>
  </si>
  <si>
    <t xml:space="preserve">actual. Toda cifra de esta hoja se lee como caracterización del corredor 2015–2019.</t>
  </si>
  <si>
    <t xml:space="preserve">LAS DOS DEFINICIONES DE TRAMO — se publican ambas  [H]</t>
  </si>
  <si>
    <t xml:space="preserve">Los 42 fallecidos están en el tramo que la ANSV nombra «Calarcá – Ibagué», que abarca el</t>
  </si>
  <si>
    <t xml:space="preserve">corredor completo de 74 km. Pero los seis sectores críticos caen todos en el descenso de</t>
  </si>
  <si>
    <t xml:space="preserve">Calarcá, dentro de los 45 km de la estación 244. Ninguna de las dos definiciones es</t>
  </si>
  <si>
    <t xml:space="preserve">obviamente la correcta, así que se publican las dos con su denominador declarado y no se</t>
  </si>
  <si>
    <t xml:space="preserve">escoge una en silencio.</t>
  </si>
  <si>
    <t xml:space="preserve">MARCAS</t>
  </si>
  <si>
    <t xml:space="preserve">F</t>
  </si>
  <si>
    <t xml:space="preserve">Dato de fuente externa citada.</t>
  </si>
  <si>
    <t xml:space="preserve">CP</t>
  </si>
  <si>
    <t xml:space="preserve">Cálculo propio, reproducible por la fórmula de la celda.</t>
  </si>
  <si>
    <t xml:space="preserve">H</t>
  </si>
  <si>
    <t xml:space="preserve">Hipótesis o criterio adoptado. Celda amarilla con texto azul.</t>
  </si>
  <si>
    <t xml:space="preserve">Entradas del cálculo — todas medidas</t>
  </si>
  <si>
    <t xml:space="preserve">Ninguna celda de esta hoja es una suposición. Cada una cita su fuente.</t>
  </si>
  <si>
    <t xml:space="preserve">Entrada</t>
  </si>
  <si>
    <t xml:space="preserve">Valor</t>
  </si>
  <si>
    <t xml:space="preserve">Marca</t>
  </si>
  <si>
    <t xml:space="preserve">Origen</t>
  </si>
  <si>
    <t xml:space="preserve">Fallecidos en el tramo del paso «Calarcá – Ibagué»</t>
  </si>
  <si>
    <t xml:space="preserve">ANSV rs3u-8r4q, 2015–2019. Cuatro sectores críticos: PR 86, PR 6 y PR 10 (dos).</t>
  </si>
  <si>
    <t xml:space="preserve">Fallecidos en todo el corredor de análisis</t>
  </si>
  <si>
    <t xml:space="preserve">ANSV rs3u-8r4q. Los seis sectores, todos en jurisdicción de Calarcá.</t>
  </si>
  <si>
    <t xml:space="preserve">Años cubiertos por el registro de fallecidos</t>
  </si>
  <si>
    <t xml:space="preserve">2015 a 2019 inclusive.</t>
  </si>
  <si>
    <t xml:space="preserve">TPD del paso — estación 244, media 2015–2018</t>
  </si>
  <si>
    <t xml:space="preserve">INVÍAS, serie histórica. Sector Calarcá – Cajamarca.</t>
  </si>
  <si>
    <t xml:space="preserve">TPD del tramo Cajamarca – Ibagué — estación 243</t>
  </si>
  <si>
    <t xml:space="preserve">INVÍAS, serie histórica. Solo 2015–2017: el libro no publica 2018.</t>
  </si>
  <si>
    <t xml:space="preserve">Longitud del paso — estación 244</t>
  </si>
  <si>
    <t xml:space="preserve">Declarada por INVÍAS para esa estación.</t>
  </si>
  <si>
    <t xml:space="preserve">Longitud del tramo Cajamarca – Ibagué — estación 243</t>
  </si>
  <si>
    <t xml:space="preserve">Declarada por INVÍAS.</t>
  </si>
  <si>
    <t xml:space="preserve">TPD de camiones en el paso, media 2015–2018</t>
  </si>
  <si>
    <t xml:space="preserve">Estación 244, aplicando la composición vehicular publicada por INVÍAS.</t>
  </si>
  <si>
    <t xml:space="preserve">TPD del peaje Cajamarca en 2019 — solo como control</t>
  </si>
  <si>
    <t xml:space="preserve">INVÍAS, aforo mensual 2019. No entra en la tasa: sirve para acotar la hipótesis del año faltante, en la hoja 3.</t>
  </si>
  <si>
    <t xml:space="preserve">DERIVADAS  [CP]</t>
  </si>
  <si>
    <t xml:space="preserve">Longitud del corredor completo (km)</t>
  </si>
  <si>
    <t xml:space="preserve">Suma de las dos longitudes declaradas por INVÍAS.</t>
  </si>
  <si>
    <t xml:space="preserve">TPD del corredor, ponderado por longitud</t>
  </si>
  <si>
    <t xml:space="preserve">Cada estación pesa según los kilómetros que representa.</t>
  </si>
  <si>
    <t xml:space="preserve">Tasa de siniestralidad normalizada por exposición</t>
  </si>
  <si>
    <t xml:space="preserve">Las dos definiciones de tramo se publican juntas. Toda celda es fórmula: cambia una entrada en la hoja 2 y esta hoja se recalcula.</t>
  </si>
  <si>
    <t xml:space="preserve">Definición del tramo</t>
  </si>
  <si>
    <t xml:space="preserve">Fallecidos</t>
  </si>
  <si>
    <t xml:space="preserve">TPD</t>
  </si>
  <si>
    <t xml:space="preserve">L (km)</t>
  </si>
  <si>
    <t xml:space="preserve">Años</t>
  </si>
  <si>
    <t xml:space="preserve">Veh-km del periodo</t>
  </si>
  <si>
    <t xml:space="preserve">Corredor completo Ibagué – Calarcá (74 km)</t>
  </si>
  <si>
    <t xml:space="preserve">Solo el paso — estación 244 (45 km)</t>
  </si>
  <si>
    <t xml:space="preserve">Control · los 52 fallecidos del corredor, sobre 74 km</t>
  </si>
  <si>
    <t xml:space="preserve">COMPARACIÓN CON LO QUE PUBLICABA EL LIBRO ANTERIOR</t>
  </si>
  <si>
    <t xml:space="preserve">Tasa con las hipótesis del libro anterior (TPD 3.000, L 60 km)</t>
  </si>
  <si>
    <t xml:space="preserve">Las dos entradas eran supuestos, no medidas.</t>
  </si>
  <si>
    <t xml:space="preserve">La tasa medida es, respecto de la anterior</t>
  </si>
  <si>
    <t xml:space="preserve">El TPD real del paso es más del doble del supuesto, así que la tasa cae.</t>
  </si>
  <si>
    <t xml:space="preserve">HIPÓTESIS DECLARADA · el año que falta en el aforo  [H]</t>
  </si>
  <si>
    <t xml:space="preserve">El registro de fallecidos cubre CINCO años (2015–2019). El aforo de INVÍAS cubre CUATRO en la</t>
  </si>
  <si>
    <t xml:space="preserve">estación 244 (2015–2018) y TRES en la 243 (el libro no publica 2018). El cálculo multiplica el TPD</t>
  </si>
  <si>
    <t xml:space="preserve">medido por los cinco años, es decir, SUPONE que 2019 tuvo un tránsito parecido. Eso es una</t>
  </si>
  <si>
    <t xml:space="preserve">hipótesis y aquí se declara en vez de quedar escondida en el promedio.</t>
  </si>
  <si>
    <t xml:space="preserve">No es una hipótesis ciega: el aforo del peaje Cajamarca de 2019 SÍ existe y sirve de control.</t>
  </si>
  <si>
    <t xml:space="preserve">TPD del peaje Cajamarca en 2019</t>
  </si>
  <si>
    <t xml:space="preserve">Medido. Se desvía de la media 2015–2018 de la estación 244 en menos del 5 %.</t>
  </si>
  <si>
    <t xml:space="preserve">Media 2015–2019 incorporando ese año</t>
  </si>
  <si>
    <t xml:space="preserve">Escenario alternativo: cinco años, con 2019 tomado del peaje.</t>
  </si>
  <si>
    <t xml:space="preserve">Tasa del paso con ese escenario</t>
  </si>
  <si>
    <t xml:space="preserve">Frente a la publicada arriba.</t>
  </si>
  <si>
    <t xml:space="preserve">Cuánto mueve la hipótesis la tasa publicada</t>
  </si>
  <si>
    <t xml:space="preserve">Si esta cifra fuera grande, la tasa no sería publicable. No lo es.</t>
  </si>
  <si>
    <t xml:space="preserve">CÓMO SE LEE</t>
  </si>
  <si>
    <t xml:space="preserve">Las dos primeras filas usan los mismos 42 fallecidos y difieren solo en el denominador: la primera los</t>
  </si>
  <si>
    <t xml:space="preserve">reparte sobre los 74 km del corredor que la ANSV nombra; la segunda sobre los 45 km donde caen los seis</t>
  </si>
  <si>
    <t xml:space="preserve">sectores críticos. La segunda es mayor porque concentra la misma mortalidad en menos kilómetros.</t>
  </si>
  <si>
    <t xml:space="preserve">La fila de control usa los 52 fallecidos del corredor completo, incluidos los diez del tramo</t>
  </si>
  <si>
    <t xml:space="preserve">La Paila – Calarcá que no pertenecen al cruce. Sirve de cota superior, no de resultado.</t>
  </si>
  <si>
    <t xml:space="preserve">Sensibilidad de la tasa a las dos entradas que antes eran hipótesis</t>
  </si>
  <si>
    <t xml:space="preserve">Ya no hace falta para publicar un resultado, pero muestra cuánto dependía la cifra anterior de supuestos. La casilla verde es el valor medido.</t>
  </si>
  <si>
    <t xml:space="preserve">TPD \ L (km)</t>
  </si>
  <si>
    <t xml:space="preserve">Verde: el valor con las dos entradas medidas. El resto de la tabla existe para mostrar de qué dependía la cifra que se publicaba antes.</t>
  </si>
  <si>
    <t xml:space="preserve">Exposición de la carga pesada en el descenso del paso</t>
  </si>
  <si>
    <t xml:space="preserve">Es el grupo que la Ferropista captaría. Todas las cifras salen de la estación 244, que mide el paso.</t>
  </si>
  <si>
    <t xml:space="preserve">Concepto</t>
  </si>
  <si>
    <t xml:space="preserve">Nota</t>
  </si>
  <si>
    <t xml:space="preserve">TPD total del paso, media 2015–2018</t>
  </si>
  <si>
    <t xml:space="preserve">Estación 244 de INVÍAS.</t>
  </si>
  <si>
    <t xml:space="preserve">TPD de camiones en el paso</t>
  </si>
  <si>
    <t xml:space="preserve">Composición vehicular publicada por INVÍAS.</t>
  </si>
  <si>
    <t xml:space="preserve">Participación de los camiones</t>
  </si>
  <si>
    <t xml:space="preserve">La clase «camiones» de esta fuente incluye los de dos ejes: es cota superior.</t>
  </si>
  <si>
    <t xml:space="preserve">Longitud del paso (km)</t>
  </si>
  <si>
    <t xml:space="preserve">Vehículos-km diarios de camiones</t>
  </si>
  <si>
    <t xml:space="preserve">TPD de camiones × longitud.</t>
  </si>
  <si>
    <t xml:space="preserve">Vehículos-km anuales de camiones</t>
  </si>
  <si>
    <t xml:space="preserve">Exposición anual del grupo que haría el cruce por el túnel.</t>
  </si>
  <si>
    <t xml:space="preserve">Captación prevista por la Ferropista</t>
  </si>
  <si>
    <t xml:space="preserve">Ponencia ARCS / UC Consult, dia. 10. Cifra del proponente, no auditada.</t>
  </si>
  <si>
    <t xml:space="preserve">Vehículos-km anuales que dejarían el paso</t>
  </si>
  <si>
    <t xml:space="preserve">Estimación condicionada a esa captación. No es un pronóstico.</t>
  </si>
  <si>
    <t xml:space="preserve">QUÉ PUEDE AFIRMARSE</t>
  </si>
  <si>
    <t xml:space="preserve">La tasa de mortalidad del corredor, normalizada por exposición, con las dos entradas medidas y el</t>
  </si>
  <si>
    <t xml:space="preserve">periodo de fallecidos y de aforo coincidiendo por primera vez.</t>
  </si>
  <si>
    <t xml:space="preserve">La exposición anual en vehículos-kilómetro de la carga pesada que hace el cruce.</t>
  </si>
  <si>
    <t xml:space="preserve">QUÉ NO PUEDE AFIRMARSE</t>
  </si>
  <si>
    <t xml:space="preserve">Cuántas muertes evitaría la Ferropista. Eso exige un modelo de siniestralidad calibrado con microdatos</t>
  </si>
  <si>
    <t xml:space="preserve">por siniestro (tipo de vehículo, causa, condición de la víctima) que no están públicos para este corredor.</t>
  </si>
  <si>
    <t xml:space="preserve">Que la tasa de hoy sea esta: la línea base es anterior al Túnel de La Línea y sobrestima el riesgo actual.</t>
  </si>
  <si>
    <t xml:space="preserve">Serie histórica del paso — estación 244, Calarcá – Cajamarca</t>
  </si>
  <si>
    <t xml:space="preserve">Datos de INVÍAS 1997–2018 [F]. Las columnas de TPD por clase se calculan por fórmula [CP]. Alimenta la figura de la actividad.</t>
  </si>
  <si>
    <t xml:space="preserve">Año</t>
  </si>
  <si>
    <t xml:space="preserve">TPD total</t>
  </si>
  <si>
    <t xml:space="preserve">% autos</t>
  </si>
  <si>
    <t xml:space="preserve">% buses</t>
  </si>
  <si>
    <t xml:space="preserve">% camiones</t>
  </si>
  <si>
    <t xml:space="preserve">TPD camiones</t>
  </si>
  <si>
    <t xml:space="preserve">TPD no pesados</t>
  </si>
  <si>
    <t xml:space="preserve">En 2018 la participación de camiones cae de 59 % a 44 % tras veinte años estable entre 60 % y 69 %. Sin contrastar: no usar ese año aislado.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</si>
</sst>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"/>
    <numFmt numFmtId="167" formatCode="0%"/>
    <numFmt numFmtId="168" formatCode="0.0%"/>
    <numFmt numFmtId="169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93F77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475569"/>
      <name val="Arial"/>
      <family val="0"/>
      <charset val="1"/>
    </font>
    <font>
      <b val="true"/>
      <sz val="11"/>
      <color rgb="FF0F7B55"/>
      <name val="Arial"/>
      <family val="0"/>
      <charset val="1"/>
    </font>
    <font>
      <sz val="9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1F5F9"/>
        <bgColor rgb="FFFFFFFF"/>
      </patternFill>
    </fill>
    <fill>
      <patternFill patternType="solid">
        <fgColor rgb="FF193F77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DCFCE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B55"/>
      <rgbColor rgb="FFC0C0C0"/>
      <rgbColor rgb="FF808080"/>
      <rgbColor rgb="FF9999FF"/>
      <rgbColor rgb="FF993366"/>
      <rgbColor rgb="FFF1F5F9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93F7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3"/>
    </row>
    <row r="5" customFormat="false" ht="15" hidden="false" customHeight="false" outlineLevel="0" collapsed="false">
      <c r="A5" s="4" t="s">
        <v>2</v>
      </c>
      <c r="B5" s="3"/>
    </row>
    <row r="6" customFormat="false" ht="15" hidden="false" customHeight="false" outlineLevel="0" collapsed="false">
      <c r="A6" s="3" t="s">
        <v>3</v>
      </c>
      <c r="B6" s="3" t="s">
        <v>4</v>
      </c>
    </row>
    <row r="7" customFormat="false" ht="15" hidden="false" customHeight="false" outlineLevel="0" collapsed="false">
      <c r="A7" s="3" t="s">
        <v>5</v>
      </c>
      <c r="B7" s="3" t="s">
        <v>6</v>
      </c>
    </row>
    <row r="8" customFormat="false" ht="15" hidden="false" customHeight="false" outlineLevel="0" collapsed="false">
      <c r="A8" s="3" t="s">
        <v>7</v>
      </c>
      <c r="B8" s="3" t="s">
        <v>8</v>
      </c>
    </row>
    <row r="9" customFormat="false" ht="15" hidden="false" customHeight="false" outlineLevel="0" collapsed="false">
      <c r="A9" s="3"/>
      <c r="B9" s="3"/>
    </row>
    <row r="10" customFormat="false" ht="15" hidden="false" customHeight="false" outlineLevel="0" collapsed="false">
      <c r="A10" s="4" t="s">
        <v>9</v>
      </c>
      <c r="B10" s="3"/>
    </row>
    <row r="11" customFormat="false" ht="15" hidden="false" customHeight="false" outlineLevel="0" collapsed="false">
      <c r="A11" s="3"/>
      <c r="B11" s="3" t="s">
        <v>10</v>
      </c>
    </row>
    <row r="12" customFormat="false" ht="15" hidden="false" customHeight="false" outlineLevel="0" collapsed="false">
      <c r="A12" s="3"/>
      <c r="B12" s="3" t="s">
        <v>11</v>
      </c>
    </row>
    <row r="13" customFormat="false" ht="15" hidden="false" customHeight="false" outlineLevel="0" collapsed="false">
      <c r="A13" s="3"/>
      <c r="B13" s="3" t="s">
        <v>12</v>
      </c>
    </row>
    <row r="14" customFormat="false" ht="15" hidden="false" customHeight="false" outlineLevel="0" collapsed="false">
      <c r="A14" s="3"/>
      <c r="B14" s="3" t="s">
        <v>13</v>
      </c>
    </row>
    <row r="15" customFormat="false" ht="15" hidden="false" customHeight="false" outlineLevel="0" collapsed="false">
      <c r="A15" s="3"/>
      <c r="B15" s="3" t="s">
        <v>14</v>
      </c>
    </row>
    <row r="16" customFormat="false" ht="15" hidden="false" customHeight="false" outlineLevel="0" collapsed="false">
      <c r="A16" s="3"/>
      <c r="B16" s="3" t="s">
        <v>15</v>
      </c>
    </row>
    <row r="17" customFormat="false" ht="15" hidden="false" customHeight="false" outlineLevel="0" collapsed="false">
      <c r="A17" s="3"/>
      <c r="B17" s="3"/>
    </row>
    <row r="18" customFormat="false" ht="15" hidden="false" customHeight="false" outlineLevel="0" collapsed="false">
      <c r="A18" s="4" t="s">
        <v>16</v>
      </c>
      <c r="B18" s="3"/>
    </row>
    <row r="19" customFormat="false" ht="15" hidden="false" customHeight="false" outlineLevel="0" collapsed="false">
      <c r="A19" s="3"/>
      <c r="B19" s="3" t="s">
        <v>17</v>
      </c>
    </row>
    <row r="20" customFormat="false" ht="15" hidden="false" customHeight="false" outlineLevel="0" collapsed="false">
      <c r="A20" s="3"/>
      <c r="B20" s="3" t="s">
        <v>18</v>
      </c>
    </row>
    <row r="21" customFormat="false" ht="15" hidden="false" customHeight="false" outlineLevel="0" collapsed="false">
      <c r="A21" s="3"/>
      <c r="B21" s="3" t="s">
        <v>19</v>
      </c>
    </row>
    <row r="22" customFormat="false" ht="15" hidden="false" customHeight="false" outlineLevel="0" collapsed="false">
      <c r="A22" s="3"/>
      <c r="B22" s="3"/>
    </row>
    <row r="23" customFormat="false" ht="15" hidden="false" customHeight="false" outlineLevel="0" collapsed="false">
      <c r="A23" s="4" t="s">
        <v>20</v>
      </c>
      <c r="B23" s="3"/>
    </row>
    <row r="24" customFormat="false" ht="15" hidden="false" customHeight="false" outlineLevel="0" collapsed="false">
      <c r="A24" s="3"/>
      <c r="B24" s="3" t="s">
        <v>21</v>
      </c>
    </row>
    <row r="25" customFormat="false" ht="15" hidden="false" customHeight="false" outlineLevel="0" collapsed="false">
      <c r="A25" s="3"/>
      <c r="B25" s="3" t="s">
        <v>22</v>
      </c>
    </row>
    <row r="26" customFormat="false" ht="15" hidden="false" customHeight="false" outlineLevel="0" collapsed="false">
      <c r="A26" s="3"/>
      <c r="B26" s="3" t="s">
        <v>23</v>
      </c>
    </row>
    <row r="27" customFormat="false" ht="15" hidden="false" customHeight="false" outlineLevel="0" collapsed="false">
      <c r="A27" s="3"/>
      <c r="B27" s="3" t="s">
        <v>24</v>
      </c>
    </row>
    <row r="28" customFormat="false" ht="15" hidden="false" customHeight="false" outlineLevel="0" collapsed="false">
      <c r="A28" s="3"/>
      <c r="B28" s="3" t="s">
        <v>25</v>
      </c>
    </row>
    <row r="29" customFormat="false" ht="15" hidden="false" customHeight="false" outlineLevel="0" collapsed="false">
      <c r="A29" s="3"/>
      <c r="B29" s="3"/>
    </row>
    <row r="30" customFormat="false" ht="15" hidden="false" customHeight="false" outlineLevel="0" collapsed="false">
      <c r="A30" s="4" t="s">
        <v>26</v>
      </c>
      <c r="B30" s="3"/>
    </row>
    <row r="31" customFormat="false" ht="15" hidden="false" customHeight="false" outlineLevel="0" collapsed="false">
      <c r="A31" s="3" t="s">
        <v>27</v>
      </c>
      <c r="B31" s="3" t="s">
        <v>28</v>
      </c>
    </row>
    <row r="32" customFormat="false" ht="15" hidden="false" customHeight="false" outlineLevel="0" collapsed="false">
      <c r="A32" s="3" t="s">
        <v>29</v>
      </c>
      <c r="B32" s="3" t="s">
        <v>30</v>
      </c>
    </row>
    <row r="33" customFormat="false" ht="15" hidden="false" customHeight="false" outlineLevel="0" collapsed="false">
      <c r="A33" s="3" t="s">
        <v>31</v>
      </c>
      <c r="B33" s="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78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30" hidden="false" customHeight="true" outlineLevel="0" collapsed="false">
      <c r="A4" s="5" t="s">
        <v>35</v>
      </c>
      <c r="B4" s="5" t="s">
        <v>36</v>
      </c>
      <c r="C4" s="5" t="s">
        <v>37</v>
      </c>
      <c r="D4" s="5" t="s">
        <v>38</v>
      </c>
    </row>
    <row r="5" customFormat="false" ht="15" hidden="false" customHeight="false" outlineLevel="0" collapsed="false">
      <c r="A5" s="6" t="s">
        <v>39</v>
      </c>
      <c r="B5" s="6" t="n">
        <v>42</v>
      </c>
      <c r="C5" s="7" t="s">
        <v>27</v>
      </c>
      <c r="D5" s="8" t="s">
        <v>40</v>
      </c>
    </row>
    <row r="6" customFormat="false" ht="15" hidden="false" customHeight="false" outlineLevel="0" collapsed="false">
      <c r="A6" s="6" t="s">
        <v>41</v>
      </c>
      <c r="B6" s="6" t="n">
        <v>52</v>
      </c>
      <c r="C6" s="7" t="s">
        <v>27</v>
      </c>
      <c r="D6" s="8" t="s">
        <v>42</v>
      </c>
    </row>
    <row r="7" customFormat="false" ht="15" hidden="false" customHeight="false" outlineLevel="0" collapsed="false">
      <c r="A7" s="6" t="s">
        <v>43</v>
      </c>
      <c r="B7" s="6" t="n">
        <v>5</v>
      </c>
      <c r="C7" s="7" t="s">
        <v>27</v>
      </c>
      <c r="D7" s="8" t="s">
        <v>44</v>
      </c>
    </row>
    <row r="8" customFormat="false" ht="15" hidden="false" customHeight="false" outlineLevel="0" collapsed="false">
      <c r="A8" s="6" t="s">
        <v>45</v>
      </c>
      <c r="B8" s="6" t="n">
        <v>6676</v>
      </c>
      <c r="C8" s="7" t="s">
        <v>27</v>
      </c>
      <c r="D8" s="8" t="s">
        <v>46</v>
      </c>
    </row>
    <row r="9" customFormat="false" ht="15" hidden="false" customHeight="false" outlineLevel="0" collapsed="false">
      <c r="A9" s="6" t="s">
        <v>47</v>
      </c>
      <c r="B9" s="6" t="n">
        <v>7043</v>
      </c>
      <c r="C9" s="7" t="s">
        <v>27</v>
      </c>
      <c r="D9" s="8" t="s">
        <v>48</v>
      </c>
    </row>
    <row r="10" customFormat="false" ht="15" hidden="false" customHeight="false" outlineLevel="0" collapsed="false">
      <c r="A10" s="6" t="s">
        <v>49</v>
      </c>
      <c r="B10" s="6" t="n">
        <v>45</v>
      </c>
      <c r="C10" s="7" t="s">
        <v>27</v>
      </c>
      <c r="D10" s="8" t="s">
        <v>50</v>
      </c>
    </row>
    <row r="11" customFormat="false" ht="15" hidden="false" customHeight="false" outlineLevel="0" collapsed="false">
      <c r="A11" s="6" t="s">
        <v>51</v>
      </c>
      <c r="B11" s="6" t="n">
        <v>29</v>
      </c>
      <c r="C11" s="7" t="s">
        <v>27</v>
      </c>
      <c r="D11" s="8" t="s">
        <v>52</v>
      </c>
    </row>
    <row r="12" customFormat="false" ht="15" hidden="false" customHeight="false" outlineLevel="0" collapsed="false">
      <c r="A12" s="6" t="s">
        <v>53</v>
      </c>
      <c r="B12" s="6" t="n">
        <v>3708</v>
      </c>
      <c r="C12" s="7" t="s">
        <v>27</v>
      </c>
      <c r="D12" s="8" t="s">
        <v>54</v>
      </c>
    </row>
    <row r="13" customFormat="false" ht="15" hidden="false" customHeight="false" outlineLevel="0" collapsed="false">
      <c r="A13" s="6" t="s">
        <v>55</v>
      </c>
      <c r="B13" s="6" t="n">
        <v>6351</v>
      </c>
      <c r="C13" s="7" t="s">
        <v>27</v>
      </c>
      <c r="D13" s="8" t="s">
        <v>56</v>
      </c>
    </row>
    <row r="15" customFormat="false" ht="15" hidden="false" customHeight="false" outlineLevel="0" collapsed="false">
      <c r="A15" s="4" t="s">
        <v>57</v>
      </c>
    </row>
    <row r="16" customFormat="false" ht="15" hidden="false" customHeight="false" outlineLevel="0" collapsed="false">
      <c r="A16" s="6" t="s">
        <v>58</v>
      </c>
      <c r="B16" s="6" t="n">
        <f aca="false">B10+B11</f>
        <v>74</v>
      </c>
      <c r="C16" s="7" t="s">
        <v>29</v>
      </c>
      <c r="D16" s="8" t="s">
        <v>59</v>
      </c>
    </row>
    <row r="17" customFormat="false" ht="15" hidden="false" customHeight="false" outlineLevel="0" collapsed="false">
      <c r="A17" s="6" t="s">
        <v>60</v>
      </c>
      <c r="B17" s="6" t="n">
        <f aca="false">ROUND((B9*B11+B8*B10)/B16,0)</f>
        <v>6820</v>
      </c>
      <c r="C17" s="7" t="s">
        <v>29</v>
      </c>
      <c r="D17" s="8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21"/>
    <col collapsed="false" customWidth="true" hidden="false" outlineLevel="0" max="7" min="7" style="0" width="12"/>
    <col collapsed="false" customWidth="true" hidden="false" outlineLevel="0" max="8" min="8" style="0" width="8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30" hidden="false" customHeight="true" outlineLevel="0" collapsed="false">
      <c r="A4" s="5" t="s">
        <v>64</v>
      </c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  <c r="G4" s="5" t="s">
        <v>3</v>
      </c>
      <c r="H4" s="5" t="s">
        <v>37</v>
      </c>
    </row>
    <row r="5" customFormat="false" ht="15" hidden="false" customHeight="false" outlineLevel="0" collapsed="false">
      <c r="A5" s="7" t="s">
        <v>70</v>
      </c>
      <c r="B5" s="6" t="n">
        <f aca="false">'2. Entradas'!B5</f>
        <v>42</v>
      </c>
      <c r="C5" s="6" t="n">
        <f aca="false">'2. Entradas'!B17</f>
        <v>6820</v>
      </c>
      <c r="D5" s="6" t="n">
        <f aca="false">'2. Entradas'!B16</f>
        <v>74</v>
      </c>
      <c r="E5" s="6" t="n">
        <f aca="false">'2. Entradas'!B7</f>
        <v>5</v>
      </c>
      <c r="F5" s="9" t="n">
        <f aca="false">C5*365*D5*E5</f>
        <v>921041000</v>
      </c>
      <c r="G5" s="10" t="n">
        <f aca="false">B5/F5*100000000</f>
        <v>4.56005758701296</v>
      </c>
      <c r="H5" s="7" t="s">
        <v>29</v>
      </c>
    </row>
    <row r="6" customFormat="false" ht="15" hidden="false" customHeight="false" outlineLevel="0" collapsed="false">
      <c r="A6" s="7" t="s">
        <v>71</v>
      </c>
      <c r="B6" s="6" t="n">
        <f aca="false">'2. Entradas'!B5</f>
        <v>42</v>
      </c>
      <c r="C6" s="6" t="n">
        <f aca="false">'2. Entradas'!B8</f>
        <v>6676</v>
      </c>
      <c r="D6" s="6" t="n">
        <f aca="false">'2. Entradas'!B10</f>
        <v>45</v>
      </c>
      <c r="E6" s="6" t="n">
        <f aca="false">'2. Entradas'!B7</f>
        <v>5</v>
      </c>
      <c r="F6" s="9" t="n">
        <f aca="false">C6*365*D6*E6</f>
        <v>548266500</v>
      </c>
      <c r="G6" s="10" t="n">
        <f aca="false">B6/F6*100000000</f>
        <v>7.66050816528094</v>
      </c>
      <c r="H6" s="7" t="s">
        <v>29</v>
      </c>
    </row>
    <row r="7" customFormat="false" ht="15" hidden="false" customHeight="false" outlineLevel="0" collapsed="false">
      <c r="A7" s="6" t="s">
        <v>72</v>
      </c>
      <c r="B7" s="6" t="n">
        <f aca="false">'2. Entradas'!B6</f>
        <v>52</v>
      </c>
      <c r="C7" s="6" t="n">
        <f aca="false">'2. Entradas'!B17</f>
        <v>6820</v>
      </c>
      <c r="D7" s="6" t="n">
        <f aca="false">'2. Entradas'!B16</f>
        <v>74</v>
      </c>
      <c r="E7" s="6" t="n">
        <f aca="false">'2. Entradas'!B7</f>
        <v>5</v>
      </c>
      <c r="F7" s="9" t="n">
        <f aca="false">C7*365*D7*E7</f>
        <v>921041000</v>
      </c>
      <c r="G7" s="11" t="n">
        <f aca="false">B7/F7*100000000</f>
        <v>5.6457855839208</v>
      </c>
      <c r="H7" s="7" t="s">
        <v>29</v>
      </c>
    </row>
    <row r="10" customFormat="false" ht="15" hidden="false" customHeight="false" outlineLevel="0" collapsed="false">
      <c r="A10" s="4" t="s">
        <v>73</v>
      </c>
    </row>
    <row r="11" customFormat="false" ht="15" hidden="false" customHeight="false" outlineLevel="0" collapsed="false">
      <c r="A11" s="3" t="s">
        <v>74</v>
      </c>
      <c r="B11" s="12" t="n">
        <f aca="false">B5/(3000*365*60*E5)*100000000</f>
        <v>12.7853881278539</v>
      </c>
      <c r="C11" s="13" t="s">
        <v>31</v>
      </c>
      <c r="D11" s="14" t="s">
        <v>75</v>
      </c>
    </row>
    <row r="12" customFormat="false" ht="15" hidden="false" customHeight="false" outlineLevel="0" collapsed="false">
      <c r="A12" s="3" t="s">
        <v>76</v>
      </c>
      <c r="B12" s="15" t="n">
        <f aca="false">G5/B11</f>
        <v>0.356661646984228</v>
      </c>
      <c r="C12" s="13" t="s">
        <v>29</v>
      </c>
      <c r="D12" s="14" t="s">
        <v>77</v>
      </c>
    </row>
    <row r="14" customFormat="false" ht="15" hidden="false" customHeight="false" outlineLevel="0" collapsed="false">
      <c r="A14" s="4" t="s">
        <v>78</v>
      </c>
    </row>
    <row r="15" customFormat="false" ht="15" hidden="false" customHeight="false" outlineLevel="0" collapsed="false">
      <c r="A15" s="14" t="s">
        <v>79</v>
      </c>
    </row>
    <row r="16" customFormat="false" ht="15" hidden="false" customHeight="false" outlineLevel="0" collapsed="false">
      <c r="A16" s="14" t="s">
        <v>80</v>
      </c>
    </row>
    <row r="17" customFormat="false" ht="15" hidden="false" customHeight="false" outlineLevel="0" collapsed="false">
      <c r="A17" s="14" t="s">
        <v>81</v>
      </c>
    </row>
    <row r="18" customFormat="false" ht="15" hidden="false" customHeight="false" outlineLevel="0" collapsed="false">
      <c r="A18" s="14" t="s">
        <v>82</v>
      </c>
    </row>
    <row r="19" customFormat="false" ht="15" hidden="false" customHeight="false" outlineLevel="0" collapsed="false">
      <c r="A19" s="14"/>
    </row>
    <row r="20" customFormat="false" ht="15" hidden="false" customHeight="false" outlineLevel="0" collapsed="false">
      <c r="A20" s="14" t="s">
        <v>83</v>
      </c>
    </row>
    <row r="22" customFormat="false" ht="15" hidden="false" customHeight="false" outlineLevel="0" collapsed="false">
      <c r="A22" s="6" t="s">
        <v>84</v>
      </c>
      <c r="B22" s="9" t="n">
        <f aca="false">'2. Entradas'!B13</f>
        <v>6351</v>
      </c>
      <c r="C22" s="7" t="s">
        <v>27</v>
      </c>
      <c r="D22" s="8" t="s">
        <v>85</v>
      </c>
    </row>
    <row r="23" customFormat="false" ht="15" hidden="false" customHeight="false" outlineLevel="0" collapsed="false">
      <c r="A23" s="6" t="s">
        <v>86</v>
      </c>
      <c r="B23" s="9" t="n">
        <f aca="false">('2. Entradas'!B8*4+'2. Entradas'!B13)/5</f>
        <v>6611</v>
      </c>
      <c r="C23" s="7" t="s">
        <v>29</v>
      </c>
      <c r="D23" s="8" t="s">
        <v>87</v>
      </c>
    </row>
    <row r="24" customFormat="false" ht="15" hidden="false" customHeight="false" outlineLevel="0" collapsed="false">
      <c r="A24" s="6" t="s">
        <v>88</v>
      </c>
      <c r="B24" s="11" t="n">
        <f aca="false">B5/(B23*365*D6*E5)*100000000</f>
        <v>7.73582703243315</v>
      </c>
      <c r="C24" s="7" t="s">
        <v>29</v>
      </c>
      <c r="D24" s="8" t="s">
        <v>89</v>
      </c>
    </row>
    <row r="25" customFormat="false" ht="15" hidden="false" customHeight="false" outlineLevel="0" collapsed="false">
      <c r="A25" s="6" t="s">
        <v>90</v>
      </c>
      <c r="B25" s="16" t="n">
        <f aca="false">ABS(B24-G6)/G6</f>
        <v>0.00983209801845406</v>
      </c>
      <c r="C25" s="7" t="s">
        <v>29</v>
      </c>
      <c r="D25" s="8" t="s">
        <v>91</v>
      </c>
    </row>
    <row r="28" customFormat="false" ht="15" hidden="false" customHeight="false" outlineLevel="0" collapsed="false">
      <c r="A28" s="13" t="s">
        <v>92</v>
      </c>
    </row>
    <row r="29" customFormat="false" ht="15" hidden="false" customHeight="false" outlineLevel="0" collapsed="false">
      <c r="A29" s="14" t="s">
        <v>93</v>
      </c>
    </row>
    <row r="30" customFormat="false" ht="15" hidden="false" customHeight="false" outlineLevel="0" collapsed="false">
      <c r="A30" s="14" t="s">
        <v>94</v>
      </c>
    </row>
    <row r="31" customFormat="false" ht="15" hidden="false" customHeight="false" outlineLevel="0" collapsed="false">
      <c r="A31" s="14" t="s">
        <v>95</v>
      </c>
    </row>
    <row r="32" customFormat="false" ht="15" hidden="false" customHeight="false" outlineLevel="0" collapsed="false">
      <c r="A32" s="14"/>
    </row>
    <row r="33" customFormat="false" ht="15" hidden="false" customHeight="false" outlineLevel="0" collapsed="false">
      <c r="A33" s="14" t="s">
        <v>96</v>
      </c>
    </row>
    <row r="34" customFormat="false" ht="15" hidden="false" customHeight="false" outlineLevel="0" collapsed="false">
      <c r="A34" s="14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1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17" t="s">
        <v>100</v>
      </c>
      <c r="B4" s="18" t="n">
        <v>40</v>
      </c>
      <c r="C4" s="18" t="n">
        <v>45</v>
      </c>
      <c r="D4" s="18" t="n">
        <v>60</v>
      </c>
      <c r="E4" s="18" t="n">
        <v>74</v>
      </c>
      <c r="F4" s="18" t="n">
        <v>80</v>
      </c>
      <c r="G4" s="18" t="n">
        <v>90</v>
      </c>
    </row>
    <row r="5" customFormat="false" ht="15" hidden="false" customHeight="false" outlineLevel="0" collapsed="false">
      <c r="A5" s="19" t="n">
        <v>3000</v>
      </c>
      <c r="B5" s="11" t="n">
        <f aca="false">'3. Tasa'!$B$5/($A5*365*B$4*'3. Tasa'!$E$5)*100000000</f>
        <v>19.1780821917808</v>
      </c>
      <c r="C5" s="11" t="n">
        <f aca="false">'3. Tasa'!$B$5/($A5*365*C$4*'3. Tasa'!$E$5)*100000000</f>
        <v>17.0471841704718</v>
      </c>
      <c r="D5" s="11" t="n">
        <f aca="false">'3. Tasa'!$B$5/($A5*365*D$4*'3. Tasa'!$E$5)*100000000</f>
        <v>12.7853881278539</v>
      </c>
      <c r="E5" s="11" t="n">
        <f aca="false">'3. Tasa'!$B$5/($A5*365*E$4*'3. Tasa'!$E$5)*100000000</f>
        <v>10.3665309144761</v>
      </c>
      <c r="F5" s="11" t="n">
        <f aca="false">'3. Tasa'!$B$5/($A5*365*F$4*'3. Tasa'!$E$5)*100000000</f>
        <v>9.58904109589041</v>
      </c>
      <c r="G5" s="11" t="n">
        <f aca="false">'3. Tasa'!$B$5/($A5*365*G$4*'3. Tasa'!$E$5)*100000000</f>
        <v>8.52359208523592</v>
      </c>
    </row>
    <row r="6" customFormat="false" ht="15" hidden="false" customHeight="false" outlineLevel="0" collapsed="false">
      <c r="A6" s="19" t="n">
        <v>4000</v>
      </c>
      <c r="B6" s="11" t="n">
        <f aca="false">'3. Tasa'!$B$5/($A6*365*B$4*'3. Tasa'!$E$5)*100000000</f>
        <v>14.3835616438356</v>
      </c>
      <c r="C6" s="11" t="n">
        <f aca="false">'3. Tasa'!$B$5/($A6*365*C$4*'3. Tasa'!$E$5)*100000000</f>
        <v>12.7853881278539</v>
      </c>
      <c r="D6" s="11" t="n">
        <f aca="false">'3. Tasa'!$B$5/($A6*365*D$4*'3. Tasa'!$E$5)*100000000</f>
        <v>9.58904109589041</v>
      </c>
      <c r="E6" s="11" t="n">
        <f aca="false">'3. Tasa'!$B$5/($A6*365*E$4*'3. Tasa'!$E$5)*100000000</f>
        <v>7.77489818585709</v>
      </c>
      <c r="F6" s="11" t="n">
        <f aca="false">'3. Tasa'!$B$5/($A6*365*F$4*'3. Tasa'!$E$5)*100000000</f>
        <v>7.19178082191781</v>
      </c>
      <c r="G6" s="11" t="n">
        <f aca="false">'3. Tasa'!$B$5/($A6*365*G$4*'3. Tasa'!$E$5)*100000000</f>
        <v>6.39269406392694</v>
      </c>
    </row>
    <row r="7" customFormat="false" ht="15" hidden="false" customHeight="false" outlineLevel="0" collapsed="false">
      <c r="A7" s="19" t="n">
        <v>5000</v>
      </c>
      <c r="B7" s="11" t="n">
        <f aca="false">'3. Tasa'!$B$5/($A7*365*B$4*'3. Tasa'!$E$5)*100000000</f>
        <v>11.5068493150685</v>
      </c>
      <c r="C7" s="11" t="n">
        <f aca="false">'3. Tasa'!$B$5/($A7*365*C$4*'3. Tasa'!$E$5)*100000000</f>
        <v>10.2283105022831</v>
      </c>
      <c r="D7" s="11" t="n">
        <f aca="false">'3. Tasa'!$B$5/($A7*365*D$4*'3. Tasa'!$E$5)*100000000</f>
        <v>7.67123287671233</v>
      </c>
      <c r="E7" s="11" t="n">
        <f aca="false">'3. Tasa'!$B$5/($A7*365*E$4*'3. Tasa'!$E$5)*100000000</f>
        <v>6.21991854868567</v>
      </c>
      <c r="F7" s="11" t="n">
        <f aca="false">'3. Tasa'!$B$5/($A7*365*F$4*'3. Tasa'!$E$5)*100000000</f>
        <v>5.75342465753425</v>
      </c>
      <c r="G7" s="11" t="n">
        <f aca="false">'3. Tasa'!$B$5/($A7*365*G$4*'3. Tasa'!$E$5)*100000000</f>
        <v>5.11415525114155</v>
      </c>
    </row>
    <row r="8" customFormat="false" ht="15" hidden="false" customHeight="false" outlineLevel="0" collapsed="false">
      <c r="A8" s="19" t="n">
        <v>6000</v>
      </c>
      <c r="B8" s="11" t="n">
        <f aca="false">'3. Tasa'!$B$5/($A8*365*B$4*'3. Tasa'!$E$5)*100000000</f>
        <v>9.58904109589041</v>
      </c>
      <c r="C8" s="11" t="n">
        <f aca="false">'3. Tasa'!$B$5/($A8*365*C$4*'3. Tasa'!$E$5)*100000000</f>
        <v>8.52359208523592</v>
      </c>
      <c r="D8" s="11" t="n">
        <f aca="false">'3. Tasa'!$B$5/($A8*365*D$4*'3. Tasa'!$E$5)*100000000</f>
        <v>6.39269406392694</v>
      </c>
      <c r="E8" s="11" t="n">
        <f aca="false">'3. Tasa'!$B$5/($A8*365*E$4*'3. Tasa'!$E$5)*100000000</f>
        <v>5.18326545723806</v>
      </c>
      <c r="F8" s="11" t="n">
        <f aca="false">'3. Tasa'!$B$5/($A8*365*F$4*'3. Tasa'!$E$5)*100000000</f>
        <v>4.79452054794521</v>
      </c>
      <c r="G8" s="11" t="n">
        <f aca="false">'3. Tasa'!$B$5/($A8*365*G$4*'3. Tasa'!$E$5)*100000000</f>
        <v>4.26179604261796</v>
      </c>
    </row>
    <row r="9" customFormat="false" ht="15" hidden="false" customHeight="false" outlineLevel="0" collapsed="false">
      <c r="A9" s="19" t="n">
        <v>6820</v>
      </c>
      <c r="B9" s="11" t="n">
        <f aca="false">'3. Tasa'!$B$5/($A9*365*B$4*'3. Tasa'!$E$5)*100000000</f>
        <v>8.43610653597397</v>
      </c>
      <c r="C9" s="11" t="n">
        <f aca="false">'3. Tasa'!$B$5/($A9*365*C$4*'3. Tasa'!$E$5)*100000000</f>
        <v>7.49876136531019</v>
      </c>
      <c r="D9" s="11" t="n">
        <f aca="false">'3. Tasa'!$B$5/($A9*365*D$4*'3. Tasa'!$E$5)*100000000</f>
        <v>5.62407102398265</v>
      </c>
      <c r="E9" s="20" t="n">
        <f aca="false">'3. Tasa'!$B$5/($A9*365*E$4*'3. Tasa'!$E$5)*100000000</f>
        <v>4.56005758701296</v>
      </c>
      <c r="F9" s="11" t="n">
        <f aca="false">'3. Tasa'!$B$5/($A9*365*F$4*'3. Tasa'!$E$5)*100000000</f>
        <v>4.21805326798699</v>
      </c>
      <c r="G9" s="11" t="n">
        <f aca="false">'3. Tasa'!$B$5/($A9*365*G$4*'3. Tasa'!$E$5)*100000000</f>
        <v>3.7493806826551</v>
      </c>
    </row>
    <row r="10" customFormat="false" ht="15" hidden="false" customHeight="false" outlineLevel="0" collapsed="false">
      <c r="A10" s="19" t="n">
        <v>7000</v>
      </c>
      <c r="B10" s="11" t="n">
        <f aca="false">'3. Tasa'!$B$5/($A10*365*B$4*'3. Tasa'!$E$5)*100000000</f>
        <v>8.21917808219178</v>
      </c>
      <c r="C10" s="11" t="n">
        <f aca="false">'3. Tasa'!$B$5/($A10*365*C$4*'3. Tasa'!$E$5)*100000000</f>
        <v>7.30593607305936</v>
      </c>
      <c r="D10" s="11" t="n">
        <f aca="false">'3. Tasa'!$B$5/($A10*365*D$4*'3. Tasa'!$E$5)*100000000</f>
        <v>5.47945205479452</v>
      </c>
      <c r="E10" s="11" t="n">
        <f aca="false">'3. Tasa'!$B$5/($A10*365*E$4*'3. Tasa'!$E$5)*100000000</f>
        <v>4.44279896334691</v>
      </c>
      <c r="F10" s="11" t="n">
        <f aca="false">'3. Tasa'!$B$5/($A10*365*F$4*'3. Tasa'!$E$5)*100000000</f>
        <v>4.10958904109589</v>
      </c>
      <c r="G10" s="11" t="n">
        <f aca="false">'3. Tasa'!$B$5/($A10*365*G$4*'3. Tasa'!$E$5)*100000000</f>
        <v>3.65296803652968</v>
      </c>
    </row>
    <row r="11" customFormat="false" ht="15" hidden="false" customHeight="false" outlineLevel="0" collapsed="false">
      <c r="A11" s="19" t="n">
        <v>8000</v>
      </c>
      <c r="B11" s="11" t="n">
        <f aca="false">'3. Tasa'!$B$5/($A11*365*B$4*'3. Tasa'!$E$5)*100000000</f>
        <v>7.19178082191781</v>
      </c>
      <c r="C11" s="11" t="n">
        <f aca="false">'3. Tasa'!$B$5/($A11*365*C$4*'3. Tasa'!$E$5)*100000000</f>
        <v>6.39269406392694</v>
      </c>
      <c r="D11" s="11" t="n">
        <f aca="false">'3. Tasa'!$B$5/($A11*365*D$4*'3. Tasa'!$E$5)*100000000</f>
        <v>4.79452054794521</v>
      </c>
      <c r="E11" s="11" t="n">
        <f aca="false">'3. Tasa'!$B$5/($A11*365*E$4*'3. Tasa'!$E$5)*100000000</f>
        <v>3.88744909292855</v>
      </c>
      <c r="F11" s="11" t="n">
        <f aca="false">'3. Tasa'!$B$5/($A11*365*F$4*'3. Tasa'!$E$5)*100000000</f>
        <v>3.5958904109589</v>
      </c>
      <c r="G11" s="11" t="n">
        <f aca="false">'3. Tasa'!$B$5/($A11*365*G$4*'3. Tasa'!$E$5)*100000000</f>
        <v>3.19634703196347</v>
      </c>
    </row>
    <row r="14" customFormat="false" ht="15" hidden="false" customHeight="false" outlineLevel="0" collapsed="false">
      <c r="A14" s="14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" t="s">
        <v>103</v>
      </c>
    </row>
    <row r="4" customFormat="false" ht="30" hidden="false" customHeight="true" outlineLevel="0" collapsed="false">
      <c r="A4" s="5" t="s">
        <v>104</v>
      </c>
      <c r="B4" s="5" t="s">
        <v>36</v>
      </c>
      <c r="C4" s="5" t="s">
        <v>37</v>
      </c>
      <c r="D4" s="5" t="s">
        <v>105</v>
      </c>
    </row>
    <row r="5" customFormat="false" ht="15" hidden="false" customHeight="false" outlineLevel="0" collapsed="false">
      <c r="A5" s="6" t="s">
        <v>106</v>
      </c>
      <c r="B5" s="9" t="n">
        <f aca="false">'2. Entradas'!B8</f>
        <v>6676</v>
      </c>
      <c r="C5" s="7" t="s">
        <v>27</v>
      </c>
      <c r="D5" s="8" t="s">
        <v>107</v>
      </c>
    </row>
    <row r="6" customFormat="false" ht="15" hidden="false" customHeight="false" outlineLevel="0" collapsed="false">
      <c r="A6" s="6" t="s">
        <v>108</v>
      </c>
      <c r="B6" s="9" t="n">
        <f aca="false">'2. Entradas'!B12</f>
        <v>3708</v>
      </c>
      <c r="C6" s="7" t="s">
        <v>27</v>
      </c>
      <c r="D6" s="8" t="s">
        <v>109</v>
      </c>
    </row>
    <row r="7" customFormat="false" ht="15" hidden="false" customHeight="false" outlineLevel="0" collapsed="false">
      <c r="A7" s="6" t="s">
        <v>110</v>
      </c>
      <c r="B7" s="16" t="n">
        <f aca="false">B6/B5</f>
        <v>0.555422408627921</v>
      </c>
      <c r="C7" s="7" t="s">
        <v>29</v>
      </c>
      <c r="D7" s="8" t="s">
        <v>111</v>
      </c>
    </row>
    <row r="8" customFormat="false" ht="15" hidden="false" customHeight="false" outlineLevel="0" collapsed="false">
      <c r="A8" s="6" t="s">
        <v>112</v>
      </c>
      <c r="B8" s="21" t="n">
        <f aca="false">'2. Entradas'!B10</f>
        <v>45</v>
      </c>
      <c r="C8" s="7" t="s">
        <v>27</v>
      </c>
      <c r="D8" s="8" t="s">
        <v>52</v>
      </c>
    </row>
    <row r="9" customFormat="false" ht="15" hidden="false" customHeight="false" outlineLevel="0" collapsed="false">
      <c r="A9" s="6" t="s">
        <v>113</v>
      </c>
      <c r="B9" s="9" t="n">
        <f aca="false">B6*B8</f>
        <v>166860</v>
      </c>
      <c r="C9" s="7" t="s">
        <v>29</v>
      </c>
      <c r="D9" s="8" t="s">
        <v>114</v>
      </c>
    </row>
    <row r="10" customFormat="false" ht="15" hidden="false" customHeight="false" outlineLevel="0" collapsed="false">
      <c r="A10" s="6" t="s">
        <v>115</v>
      </c>
      <c r="B10" s="9" t="n">
        <f aca="false">B9*365</f>
        <v>60903900</v>
      </c>
      <c r="C10" s="7" t="s">
        <v>29</v>
      </c>
      <c r="D10" s="8" t="s">
        <v>116</v>
      </c>
    </row>
    <row r="11" customFormat="false" ht="15" hidden="false" customHeight="false" outlineLevel="0" collapsed="false">
      <c r="A11" s="6" t="s">
        <v>117</v>
      </c>
      <c r="B11" s="22" t="n">
        <v>0.9</v>
      </c>
      <c r="C11" s="7" t="s">
        <v>27</v>
      </c>
      <c r="D11" s="8" t="s">
        <v>118</v>
      </c>
    </row>
    <row r="12" customFormat="false" ht="15" hidden="false" customHeight="false" outlineLevel="0" collapsed="false">
      <c r="A12" s="6" t="s">
        <v>119</v>
      </c>
      <c r="B12" s="9" t="n">
        <f aca="false">B10*B11</f>
        <v>54813510</v>
      </c>
      <c r="C12" s="7" t="s">
        <v>29</v>
      </c>
      <c r="D12" s="8" t="s">
        <v>120</v>
      </c>
    </row>
    <row r="14" customFormat="false" ht="15" hidden="false" customHeight="false" outlineLevel="0" collapsed="false">
      <c r="A14" s="13" t="s">
        <v>121</v>
      </c>
    </row>
    <row r="15" customFormat="false" ht="15" hidden="false" customHeight="false" outlineLevel="0" collapsed="false">
      <c r="A15" s="14" t="s">
        <v>122</v>
      </c>
    </row>
    <row r="16" customFormat="false" ht="15" hidden="false" customHeight="false" outlineLevel="0" collapsed="false">
      <c r="A16" s="14" t="s">
        <v>123</v>
      </c>
    </row>
    <row r="17" customFormat="false" ht="15" hidden="false" customHeight="false" outlineLevel="0" collapsed="false">
      <c r="A17" s="14" t="s">
        <v>124</v>
      </c>
    </row>
    <row r="18" customFormat="false" ht="15" hidden="false" customHeight="false" outlineLevel="0" collapsed="false">
      <c r="A18" s="14"/>
    </row>
    <row r="19" customFormat="false" ht="15" hidden="false" customHeight="false" outlineLevel="0" collapsed="false">
      <c r="A19" s="13" t="s">
        <v>125</v>
      </c>
    </row>
    <row r="20" customFormat="false" ht="15" hidden="false" customHeight="false" outlineLevel="0" collapsed="false">
      <c r="A20" s="14" t="s">
        <v>126</v>
      </c>
    </row>
    <row r="21" customFormat="false" ht="15" hidden="false" customHeight="false" outlineLevel="0" collapsed="false">
      <c r="A21" s="14" t="s">
        <v>127</v>
      </c>
    </row>
    <row r="22" customFormat="false" ht="15" hidden="false" customHeight="false" outlineLevel="0" collapsed="false">
      <c r="A22" s="14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5"/>
  </cols>
  <sheetData>
    <row r="1" customFormat="false" ht="17.3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4" customFormat="false" ht="30" hidden="false" customHeight="true" outlineLevel="0" collapsed="false">
      <c r="A4" s="5" t="s">
        <v>131</v>
      </c>
      <c r="B4" s="5" t="s">
        <v>132</v>
      </c>
      <c r="C4" s="5" t="s">
        <v>133</v>
      </c>
      <c r="D4" s="5" t="s">
        <v>134</v>
      </c>
      <c r="E4" s="5" t="s">
        <v>135</v>
      </c>
      <c r="F4" s="5" t="s">
        <v>136</v>
      </c>
      <c r="G4" s="5" t="s">
        <v>137</v>
      </c>
    </row>
    <row r="5" customFormat="false" ht="15" hidden="false" customHeight="false" outlineLevel="0" collapsed="false">
      <c r="A5" s="6" t="n">
        <v>1997</v>
      </c>
      <c r="B5" s="6" t="n">
        <v>3194</v>
      </c>
      <c r="C5" s="6" t="n">
        <v>32</v>
      </c>
      <c r="D5" s="6" t="n">
        <v>8</v>
      </c>
      <c r="E5" s="6" t="n">
        <v>60</v>
      </c>
      <c r="F5" s="6" t="n">
        <f aca="false">IF(E5="","",ROUND(B5*E5/100,0))</f>
        <v>1916</v>
      </c>
      <c r="G5" s="6" t="n">
        <f aca="false">IF(E5="","",B5-F5)</f>
        <v>1278</v>
      </c>
    </row>
    <row r="6" customFormat="false" ht="15" hidden="false" customHeight="false" outlineLevel="0" collapsed="false">
      <c r="A6" s="6" t="n">
        <v>1998</v>
      </c>
      <c r="B6" s="6" t="n">
        <v>3546</v>
      </c>
      <c r="C6" s="6" t="n">
        <v>30</v>
      </c>
      <c r="D6" s="6" t="n">
        <v>7</v>
      </c>
      <c r="E6" s="6" t="n">
        <v>63</v>
      </c>
      <c r="F6" s="6" t="n">
        <f aca="false">IF(E6="","",ROUND(B6*E6/100,0))</f>
        <v>2234</v>
      </c>
      <c r="G6" s="6" t="n">
        <f aca="false">IF(E6="","",B6-F6)</f>
        <v>1312</v>
      </c>
    </row>
    <row r="7" customFormat="false" ht="15" hidden="false" customHeight="false" outlineLevel="0" collapsed="false">
      <c r="A7" s="6" t="n">
        <v>1999</v>
      </c>
      <c r="B7" s="6" t="n">
        <v>2932</v>
      </c>
      <c r="C7" s="6" t="n">
        <v>31</v>
      </c>
      <c r="D7" s="6" t="n">
        <v>6</v>
      </c>
      <c r="E7" s="6" t="n">
        <v>63</v>
      </c>
      <c r="F7" s="6" t="n">
        <f aca="false">IF(E7="","",ROUND(B7*E7/100,0))</f>
        <v>1847</v>
      </c>
      <c r="G7" s="6" t="n">
        <f aca="false">IF(E7="","",B7-F7)</f>
        <v>1085</v>
      </c>
    </row>
    <row r="8" customFormat="false" ht="15" hidden="false" customHeight="false" outlineLevel="0" collapsed="false">
      <c r="A8" s="6" t="n">
        <v>2000</v>
      </c>
      <c r="B8" s="6" t="n">
        <v>3147</v>
      </c>
      <c r="C8" s="6" t="n">
        <v>30</v>
      </c>
      <c r="D8" s="6" t="n">
        <v>8</v>
      </c>
      <c r="E8" s="6" t="n">
        <v>62</v>
      </c>
      <c r="F8" s="6" t="n">
        <f aca="false">IF(E8="","",ROUND(B8*E8/100,0))</f>
        <v>1951</v>
      </c>
      <c r="G8" s="6" t="n">
        <f aca="false">IF(E8="","",B8-F8)</f>
        <v>1196</v>
      </c>
    </row>
    <row r="9" customFormat="false" ht="15" hidden="false" customHeight="false" outlineLevel="0" collapsed="false">
      <c r="A9" s="6" t="n">
        <v>2001</v>
      </c>
      <c r="B9" s="6" t="n">
        <v>3093</v>
      </c>
      <c r="C9" s="6" t="n">
        <v>29</v>
      </c>
      <c r="D9" s="6" t="n">
        <v>8</v>
      </c>
      <c r="E9" s="6" t="n">
        <v>63</v>
      </c>
      <c r="F9" s="6" t="n">
        <f aca="false">IF(E9="","",ROUND(B9*E9/100,0))</f>
        <v>1949</v>
      </c>
      <c r="G9" s="6" t="n">
        <f aca="false">IF(E9="","",B9-F9)</f>
        <v>1144</v>
      </c>
    </row>
    <row r="10" customFormat="false" ht="15" hidden="false" customHeight="false" outlineLevel="0" collapsed="false">
      <c r="A10" s="6" t="n">
        <v>2002</v>
      </c>
      <c r="B10" s="6" t="n">
        <v>3374</v>
      </c>
      <c r="C10" s="6" t="n">
        <v>20</v>
      </c>
      <c r="D10" s="6" t="n">
        <v>12</v>
      </c>
      <c r="E10" s="6" t="n">
        <v>68</v>
      </c>
      <c r="F10" s="6" t="n">
        <f aca="false">IF(E10="","",ROUND(B10*E10/100,0))</f>
        <v>2294</v>
      </c>
      <c r="G10" s="6" t="n">
        <f aca="false">IF(E10="","",B10-F10)</f>
        <v>1080</v>
      </c>
    </row>
    <row r="11" customFormat="false" ht="15" hidden="false" customHeight="false" outlineLevel="0" collapsed="false">
      <c r="A11" s="6" t="n">
        <v>2003</v>
      </c>
      <c r="B11" s="6" t="n">
        <v>3412</v>
      </c>
      <c r="C11" s="6" t="n">
        <v>30</v>
      </c>
      <c r="D11" s="6" t="n">
        <v>12</v>
      </c>
      <c r="E11" s="6" t="n">
        <v>58</v>
      </c>
      <c r="F11" s="6" t="n">
        <f aca="false">IF(E11="","",ROUND(B11*E11/100,0))</f>
        <v>1979</v>
      </c>
      <c r="G11" s="6" t="n">
        <f aca="false">IF(E11="","",B11-F11)</f>
        <v>1433</v>
      </c>
    </row>
    <row r="12" customFormat="false" ht="15" hidden="false" customHeight="false" outlineLevel="0" collapsed="false">
      <c r="A12" s="6" t="n">
        <v>2004</v>
      </c>
      <c r="B12" s="6" t="n">
        <v>3600</v>
      </c>
      <c r="C12" s="6" t="n">
        <v>31</v>
      </c>
      <c r="D12" s="6" t="n">
        <v>10</v>
      </c>
      <c r="E12" s="6" t="n">
        <v>59</v>
      </c>
      <c r="F12" s="6" t="n">
        <f aca="false">IF(E12="","",ROUND(B12*E12/100,0))</f>
        <v>2124</v>
      </c>
      <c r="G12" s="6" t="n">
        <f aca="false">IF(E12="","",B12-F12)</f>
        <v>1476</v>
      </c>
    </row>
    <row r="13" customFormat="false" ht="15" hidden="false" customHeight="false" outlineLevel="0" collapsed="false">
      <c r="A13" s="6" t="n">
        <v>2005</v>
      </c>
      <c r="B13" s="6" t="n">
        <v>4670</v>
      </c>
      <c r="C13" s="6" t="n">
        <v>23</v>
      </c>
      <c r="D13" s="6" t="n">
        <v>14</v>
      </c>
      <c r="E13" s="6" t="n">
        <v>63</v>
      </c>
      <c r="F13" s="6" t="n">
        <f aca="false">IF(E13="","",ROUND(B13*E13/100,0))</f>
        <v>2942</v>
      </c>
      <c r="G13" s="6" t="n">
        <f aca="false">IF(E13="","",B13-F13)</f>
        <v>1728</v>
      </c>
    </row>
    <row r="14" customFormat="false" ht="15" hidden="false" customHeight="false" outlineLevel="0" collapsed="false">
      <c r="A14" s="6" t="n">
        <v>2006</v>
      </c>
      <c r="B14" s="6" t="n">
        <v>4498</v>
      </c>
      <c r="C14" s="6" t="n">
        <v>24</v>
      </c>
      <c r="D14" s="6" t="n">
        <v>11</v>
      </c>
      <c r="E14" s="6" t="n">
        <v>65</v>
      </c>
      <c r="F14" s="6" t="n">
        <f aca="false">IF(E14="","",ROUND(B14*E14/100,0))</f>
        <v>2924</v>
      </c>
      <c r="G14" s="6" t="n">
        <f aca="false">IF(E14="","",B14-F14)</f>
        <v>1574</v>
      </c>
    </row>
    <row r="15" customFormat="false" ht="15" hidden="false" customHeight="false" outlineLevel="0" collapsed="false">
      <c r="A15" s="6" t="n">
        <v>2007</v>
      </c>
      <c r="B15" s="6" t="n">
        <v>4898</v>
      </c>
      <c r="C15" s="6" t="n">
        <v>32</v>
      </c>
      <c r="D15" s="6" t="n">
        <v>12</v>
      </c>
      <c r="E15" s="6" t="n">
        <v>56</v>
      </c>
      <c r="F15" s="6" t="n">
        <f aca="false">IF(E15="","",ROUND(B15*E15/100,0))</f>
        <v>2743</v>
      </c>
      <c r="G15" s="6" t="n">
        <f aca="false">IF(E15="","",B15-F15)</f>
        <v>2155</v>
      </c>
    </row>
    <row r="16" customFormat="false" ht="15" hidden="false" customHeight="false" outlineLevel="0" collapsed="false">
      <c r="A16" s="6" t="n">
        <v>2008</v>
      </c>
      <c r="B16" s="6" t="n">
        <v>4773</v>
      </c>
      <c r="C16" s="6" t="n">
        <v>26</v>
      </c>
      <c r="D16" s="6" t="n">
        <v>16</v>
      </c>
      <c r="E16" s="6" t="n">
        <v>58</v>
      </c>
      <c r="F16" s="6" t="n">
        <f aca="false">IF(E16="","",ROUND(B16*E16/100,0))</f>
        <v>2768</v>
      </c>
      <c r="G16" s="6" t="n">
        <f aca="false">IF(E16="","",B16-F16)</f>
        <v>2005</v>
      </c>
    </row>
    <row r="17" customFormat="false" ht="15" hidden="false" customHeight="false" outlineLevel="0" collapsed="false">
      <c r="A17" s="6" t="n">
        <v>2011</v>
      </c>
      <c r="B17" s="6" t="n">
        <v>5741</v>
      </c>
      <c r="C17" s="6" t="n">
        <v>25</v>
      </c>
      <c r="D17" s="6" t="n">
        <v>8</v>
      </c>
      <c r="E17" s="6" t="n">
        <v>67</v>
      </c>
      <c r="F17" s="6" t="n">
        <f aca="false">IF(E17="","",ROUND(B17*E17/100,0))</f>
        <v>3846</v>
      </c>
      <c r="G17" s="6" t="n">
        <f aca="false">IF(E17="","",B17-F17)</f>
        <v>1895</v>
      </c>
    </row>
    <row r="18" customFormat="false" ht="15" hidden="false" customHeight="false" outlineLevel="0" collapsed="false">
      <c r="A18" s="6" t="n">
        <v>2012</v>
      </c>
      <c r="B18" s="6" t="n">
        <v>4801</v>
      </c>
      <c r="C18" s="6" t="n">
        <v>25</v>
      </c>
      <c r="D18" s="6" t="n">
        <v>9</v>
      </c>
      <c r="E18" s="6" t="n">
        <v>66</v>
      </c>
      <c r="F18" s="6" t="n">
        <f aca="false">IF(E18="","",ROUND(B18*E18/100,0))</f>
        <v>3169</v>
      </c>
      <c r="G18" s="6" t="n">
        <f aca="false">IF(E18="","",B18-F18)</f>
        <v>1632</v>
      </c>
    </row>
    <row r="19" customFormat="false" ht="15" hidden="false" customHeight="false" outlineLevel="0" collapsed="false">
      <c r="A19" s="6" t="n">
        <v>2013</v>
      </c>
      <c r="B19" s="6" t="n">
        <v>5669</v>
      </c>
      <c r="C19" s="6" t="n">
        <v>27</v>
      </c>
      <c r="D19" s="6" t="n">
        <v>9</v>
      </c>
      <c r="E19" s="6" t="n">
        <v>64</v>
      </c>
      <c r="F19" s="6" t="n">
        <f aca="false">IF(E19="","",ROUND(B19*E19/100,0))</f>
        <v>3628</v>
      </c>
      <c r="G19" s="6" t="n">
        <f aca="false">IF(E19="","",B19-F19)</f>
        <v>2041</v>
      </c>
    </row>
    <row r="20" customFormat="false" ht="15" hidden="false" customHeight="false" outlineLevel="0" collapsed="false">
      <c r="A20" s="6" t="n">
        <v>2014</v>
      </c>
      <c r="B20" s="6" t="n">
        <v>5781</v>
      </c>
      <c r="C20" s="6" t="n">
        <v>22</v>
      </c>
      <c r="D20" s="6" t="n">
        <v>9</v>
      </c>
      <c r="E20" s="6" t="n">
        <v>69</v>
      </c>
      <c r="F20" s="6" t="n">
        <f aca="false">IF(E20="","",ROUND(B20*E20/100,0))</f>
        <v>3989</v>
      </c>
      <c r="G20" s="6" t="n">
        <f aca="false">IF(E20="","",B20-F20)</f>
        <v>1792</v>
      </c>
    </row>
    <row r="21" customFormat="false" ht="15" hidden="false" customHeight="false" outlineLevel="0" collapsed="false">
      <c r="A21" s="6" t="n">
        <v>2015</v>
      </c>
      <c r="B21" s="6" t="n">
        <v>6500</v>
      </c>
      <c r="C21" s="6" t="n">
        <v>23</v>
      </c>
      <c r="D21" s="6" t="n">
        <v>11</v>
      </c>
      <c r="E21" s="6" t="n">
        <v>66</v>
      </c>
      <c r="F21" s="6" t="n">
        <f aca="false">IF(E21="","",ROUND(B21*E21/100,0))</f>
        <v>4290</v>
      </c>
      <c r="G21" s="6" t="n">
        <f aca="false">IF(E21="","",B21-F21)</f>
        <v>2210</v>
      </c>
    </row>
    <row r="22" customFormat="false" ht="15" hidden="false" customHeight="false" outlineLevel="0" collapsed="false">
      <c r="A22" s="6" t="n">
        <v>2016</v>
      </c>
      <c r="B22" s="6" t="n">
        <v>6220</v>
      </c>
      <c r="C22" s="6" t="n">
        <v>35</v>
      </c>
      <c r="D22" s="6" t="n">
        <v>10</v>
      </c>
      <c r="E22" s="6" t="n">
        <v>55</v>
      </c>
      <c r="F22" s="6" t="n">
        <f aca="false">IF(E22="","",ROUND(B22*E22/100,0))</f>
        <v>3421</v>
      </c>
      <c r="G22" s="6" t="n">
        <f aca="false">IF(E22="","",B22-F22)</f>
        <v>2799</v>
      </c>
    </row>
    <row r="23" customFormat="false" ht="15" hidden="false" customHeight="false" outlineLevel="0" collapsed="false">
      <c r="A23" s="6" t="n">
        <v>2017</v>
      </c>
      <c r="B23" s="6" t="n">
        <v>6450</v>
      </c>
      <c r="C23" s="6" t="n">
        <v>33</v>
      </c>
      <c r="D23" s="6" t="n">
        <v>8</v>
      </c>
      <c r="E23" s="6" t="n">
        <v>59</v>
      </c>
      <c r="F23" s="6" t="n">
        <f aca="false">IF(E23="","",ROUND(B23*E23/100,0))</f>
        <v>3806</v>
      </c>
      <c r="G23" s="6" t="n">
        <f aca="false">IF(E23="","",B23-F23)</f>
        <v>2644</v>
      </c>
    </row>
    <row r="24" customFormat="false" ht="15" hidden="false" customHeight="false" outlineLevel="0" collapsed="false">
      <c r="A24" s="6" t="n">
        <v>2018</v>
      </c>
      <c r="B24" s="6" t="n">
        <v>7535</v>
      </c>
      <c r="C24" s="6" t="n">
        <v>52</v>
      </c>
      <c r="D24" s="6" t="n">
        <v>4</v>
      </c>
      <c r="E24" s="6" t="n">
        <v>44</v>
      </c>
      <c r="F24" s="6" t="n">
        <f aca="false">IF(E24="","",ROUND(B24*E24/100,0))</f>
        <v>3315</v>
      </c>
      <c r="G24" s="6" t="n">
        <f aca="false">IF(E24="","",B24-F24)</f>
        <v>4220</v>
      </c>
    </row>
    <row r="26" customFormat="false" ht="15" hidden="false" customHeight="false" outlineLevel="0" collapsed="false">
      <c r="A26" s="14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2026-09-09T13:50:29Z</dcterms:created>
  <dc:creator>openpyxl</dc:creator>
  <dc:description/>
  <dc:language>en-US</dc:language>
  <cp:lastModifiedBy/>
  <dcterms:modified xsi:type="dcterms:W3CDTF">2026-09-09T13:50:29Z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