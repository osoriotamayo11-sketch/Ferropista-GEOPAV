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may\OneDrive\Documentos\Paz y Region\OE5_SeguridadVial\Act4_Analisis\"/>
    </mc:Choice>
  </mc:AlternateContent>
  <xr:revisionPtr revIDLastSave="0" documentId="11_D72A5DBE5EB04A98933DC70ED010AACA9A8D1E6E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1. Metodo" sheetId="1" r:id="rId1"/>
    <sheet name="2. Entradas" sheetId="2" r:id="rId2"/>
    <sheet name="3. Tasa" sheetId="3" r:id="rId3"/>
    <sheet name="4. Sensibilidad" sheetId="4" r:id="rId4"/>
    <sheet name="5. Carga pesada" sheetId="5" r:id="rId5"/>
    <sheet name="6. Serie del pas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6" l="1"/>
  <c r="F24" i="6"/>
  <c r="F23" i="6"/>
  <c r="G23" i="6" s="1"/>
  <c r="G22" i="6"/>
  <c r="F22" i="6"/>
  <c r="F21" i="6"/>
  <c r="G21" i="6" s="1"/>
  <c r="F20" i="6"/>
  <c r="G20" i="6" s="1"/>
  <c r="F19" i="6"/>
  <c r="G19" i="6" s="1"/>
  <c r="G18" i="6"/>
  <c r="F18" i="6"/>
  <c r="F17" i="6"/>
  <c r="G17" i="6" s="1"/>
  <c r="F16" i="6"/>
  <c r="G16" i="6" s="1"/>
  <c r="F15" i="6"/>
  <c r="G15" i="6" s="1"/>
  <c r="F14" i="6"/>
  <c r="G14" i="6" s="1"/>
  <c r="F13" i="6"/>
  <c r="G13" i="6" s="1"/>
  <c r="G12" i="6"/>
  <c r="F12" i="6"/>
  <c r="F11" i="6"/>
  <c r="G11" i="6" s="1"/>
  <c r="F10" i="6"/>
  <c r="G10" i="6" s="1"/>
  <c r="F9" i="6"/>
  <c r="G9" i="6" s="1"/>
  <c r="F8" i="6"/>
  <c r="G8" i="6" s="1"/>
  <c r="F7" i="6"/>
  <c r="G7" i="6" s="1"/>
  <c r="G6" i="6"/>
  <c r="F6" i="6"/>
  <c r="F5" i="6"/>
  <c r="G5" i="6" s="1"/>
  <c r="B8" i="5"/>
  <c r="B6" i="5"/>
  <c r="B9" i="5" s="1"/>
  <c r="B10" i="5" s="1"/>
  <c r="B12" i="5" s="1"/>
  <c r="B5" i="5"/>
  <c r="G10" i="4"/>
  <c r="F9" i="4"/>
  <c r="G8" i="4"/>
  <c r="F7" i="4"/>
  <c r="G6" i="4"/>
  <c r="F5" i="4"/>
  <c r="B23" i="3"/>
  <c r="B22" i="3"/>
  <c r="E7" i="3"/>
  <c r="B7" i="3"/>
  <c r="E6" i="3"/>
  <c r="D6" i="3"/>
  <c r="C6" i="3"/>
  <c r="F6" i="3" s="1"/>
  <c r="G6" i="3" s="1"/>
  <c r="B6" i="3"/>
  <c r="E5" i="3"/>
  <c r="B5" i="3"/>
  <c r="E11" i="4" s="1"/>
  <c r="B17" i="2"/>
  <c r="C7" i="3" s="1"/>
  <c r="F7" i="3" s="1"/>
  <c r="B16" i="2"/>
  <c r="D7" i="3" s="1"/>
  <c r="G7" i="3" l="1"/>
  <c r="F11" i="4"/>
  <c r="G11" i="4"/>
  <c r="G9" i="4"/>
  <c r="B6" i="4"/>
  <c r="C6" i="4"/>
  <c r="C8" i="4"/>
  <c r="C10" i="4"/>
  <c r="D6" i="4"/>
  <c r="D8" i="4"/>
  <c r="D10" i="4"/>
  <c r="B7" i="5"/>
  <c r="G7" i="4"/>
  <c r="B8" i="4"/>
  <c r="E6" i="4"/>
  <c r="G5" i="4"/>
  <c r="B11" i="3"/>
  <c r="B10" i="4"/>
  <c r="E8" i="4"/>
  <c r="E10" i="4"/>
  <c r="B24" i="3"/>
  <c r="B25" i="3" s="1"/>
  <c r="F6" i="4"/>
  <c r="F8" i="4"/>
  <c r="F10" i="4"/>
  <c r="B7" i="4"/>
  <c r="B11" i="4"/>
  <c r="C5" i="3"/>
  <c r="C5" i="4"/>
  <c r="C7" i="4"/>
  <c r="C9" i="4"/>
  <c r="C11" i="4"/>
  <c r="D5" i="3"/>
  <c r="D5" i="4"/>
  <c r="D7" i="4"/>
  <c r="D9" i="4"/>
  <c r="D11" i="4"/>
  <c r="B5" i="4"/>
  <c r="B9" i="4"/>
  <c r="E5" i="4"/>
  <c r="E7" i="4"/>
  <c r="E9" i="4"/>
  <c r="F5" i="3" l="1"/>
  <c r="G5" i="3" s="1"/>
  <c r="B12" i="3" s="1"/>
</calcChain>
</file>

<file path=xl/sharedStrings.xml><?xml version="1.0" encoding="utf-8"?>
<sst xmlns="http://schemas.openxmlformats.org/spreadsheetml/2006/main" count="172" uniqueCount="139">
  <si>
    <t>Análisis estadístico de la siniestralidad de vehículos pesados</t>
  </si>
  <si>
    <t>OE 5 · Actividad 4 · Semillero GEOPAV · Corredor Ibagué – Calarcá, Ruta Nacional 40, paso del Alto de La Línea</t>
  </si>
  <si>
    <t>LA FÓRMULA</t>
  </si>
  <si>
    <t>Tasa</t>
  </si>
  <si>
    <t>fallecidos / (TPD × 365 × L × años) × 10^8</t>
  </si>
  <si>
    <t>Unidad</t>
  </si>
  <si>
    <t>Fallecidos por cada 100 millones de vehículos-kilómetro recorridos.</t>
  </si>
  <si>
    <t>Por qué normalizar</t>
  </si>
  <si>
    <t>Contar muertos sin dividir por exposición es contar goles sin saber cuántos partidos se jugaron.</t>
  </si>
  <si>
    <t>LO QUE CAMBIÓ RESPECTO A LA MEMORIA METODOLÓGICA</t>
  </si>
  <si>
    <t>La memoria declara que la tasa no se puede publicar porque los fallecidos son 2015–2019</t>
  </si>
  <si>
    <t>y el aforo verificado es 2021–2026, de modo que no son divisibles entre sí. Eso era cierto</t>
  </si>
  <si>
    <t>cuando el único aforo disponible era el del peaje Cocora.</t>
  </si>
  <si>
    <t>Con la serie histórica de INVÍAS que trajo la Act 1, el aforo del paso es 2015–2018 de la</t>
  </si>
  <si>
    <t>MISMA estación y la MISMA vía. Mismo periodo, mismo tramo: la objeción queda resuelta y la</t>
  </si>
  <si>
    <t>tasa pasa de hipótesis a resultado.</t>
  </si>
  <si>
    <t>EL DESFASE QUE SÍ SIGUE EN PIE  [F]</t>
  </si>
  <si>
    <t>El Túnel de La Línea entró en operación el 4 de septiembre de 2020, con 8,6 km. La línea</t>
  </si>
  <si>
    <t>base describe el corredor ANTERIOR al túnel y por tanto SOBRESTIMA el riesgo del corredor</t>
  </si>
  <si>
    <t>actual. Toda cifra de esta hoja se lee como caracterización del corredor 2015–2019.</t>
  </si>
  <si>
    <t>LAS DOS DEFINICIONES DE TRAMO — se publican ambas  [H]</t>
  </si>
  <si>
    <t>Los 42 fallecidos están en el tramo que la ANSV nombra «Calarcá – Ibagué», que abarca el</t>
  </si>
  <si>
    <t>corredor completo de 74 km. Pero los cuatro sectores que los aportan caen todos en el</t>
  </si>
  <si>
    <t>descenso de Calarcá, dentro de los 45 km de la estación 244. Ninguna de las dos</t>
  </si>
  <si>
    <t>definiciones es obviamente la correcta, así que se publican las dos con su denominador</t>
  </si>
  <si>
    <t>declarado y no se escoge una en silencio.</t>
  </si>
  <si>
    <t>MARCAS</t>
  </si>
  <si>
    <t>F</t>
  </si>
  <si>
    <t>Dato de fuente externa citada.</t>
  </si>
  <si>
    <t>CP</t>
  </si>
  <si>
    <t>Cálculo propio, reproducible por la fórmula de la celda.</t>
  </si>
  <si>
    <t>H</t>
  </si>
  <si>
    <t>Hipótesis o criterio adoptado. Celda amarilla con texto azul.</t>
  </si>
  <si>
    <t>Entradas del cálculo — todas medidas</t>
  </si>
  <si>
    <t>Ninguna celda de esta hoja es una suposición. Cada una cita su fuente.</t>
  </si>
  <si>
    <t>Entrada</t>
  </si>
  <si>
    <t>Valor</t>
  </si>
  <si>
    <t>Marca</t>
  </si>
  <si>
    <t>Origen</t>
  </si>
  <si>
    <t>Fallecidos en el tramo del paso «Calarcá – Ibagué»</t>
  </si>
  <si>
    <t>ANSV rs3u-8r4q, 2015–2019. Cuatro sectores críticos: PR 86, PR 6 y PR 10 (dos).</t>
  </si>
  <si>
    <t>Fallecidos en todo el corredor de análisis</t>
  </si>
  <si>
    <t>ANSV rs3u-8r4q. Los seis sectores, todos en jurisdicción de Calarcá.</t>
  </si>
  <si>
    <t>Años cubiertos por el registro de fallecidos</t>
  </si>
  <si>
    <t>2015 a 2019 inclusive.</t>
  </si>
  <si>
    <t>TPD del paso — estación 244, media 2015–2018</t>
  </si>
  <si>
    <t>INVÍAS, serie histórica. Sector Calarcá – Cajamarca.</t>
  </si>
  <si>
    <t>TPD del tramo Cajamarca – Ibagué — estación 243</t>
  </si>
  <si>
    <t>INVÍAS, serie histórica. Solo 2015–2017: el libro no publica 2018.</t>
  </si>
  <si>
    <t>Longitud del paso — estación 244</t>
  </si>
  <si>
    <t>Declarada por INVÍAS para esa estación.</t>
  </si>
  <si>
    <t>Longitud del tramo Cajamarca – Ibagué — estación 243</t>
  </si>
  <si>
    <t>Declarada por INVÍAS.</t>
  </si>
  <si>
    <t>TPD de camiones en el paso, media 2015–2018</t>
  </si>
  <si>
    <t>Estación 244, aplicando la composición vehicular publicada por INVÍAS.</t>
  </si>
  <si>
    <t>TPD del peaje Cajamarca en 2019 — solo como control</t>
  </si>
  <si>
    <t>INVÍAS, aforo mensual 2019. No entra en la tasa: sirve para acotar la hipótesis del año faltante, en la hoja 3.</t>
  </si>
  <si>
    <t>DERIVADAS  [CP]</t>
  </si>
  <si>
    <t>Longitud del corredor completo (km)</t>
  </si>
  <si>
    <t>Suma de las dos longitudes declaradas por INVÍAS.</t>
  </si>
  <si>
    <t>TPD del corredor, ponderado por longitud</t>
  </si>
  <si>
    <t>Cada estación pesa según los kilómetros que representa.</t>
  </si>
  <si>
    <t>Tasa de siniestralidad normalizada por exposición</t>
  </si>
  <si>
    <t>Las dos definiciones de tramo se publican juntas. Toda celda es fórmula: cambia una entrada en la hoja 2 y esta hoja se recalcula.</t>
  </si>
  <si>
    <t>Definición del tramo</t>
  </si>
  <si>
    <t>Fallecidos</t>
  </si>
  <si>
    <t>TPD</t>
  </si>
  <si>
    <t>L (km)</t>
  </si>
  <si>
    <t>Años</t>
  </si>
  <si>
    <t>Veh-km del periodo</t>
  </si>
  <si>
    <t>Corredor completo Ibagué – Calarcá (74 km)</t>
  </si>
  <si>
    <t>Solo el paso — estación 244 (45 km)</t>
  </si>
  <si>
    <t>Control · los 52 fallecidos del corredor, sobre 74 km</t>
  </si>
  <si>
    <t>COMPARACIÓN CON LO QUE PUBLICABA EL LIBRO ANTERIOR</t>
  </si>
  <si>
    <t>Tasa con las hipótesis del libro anterior (TPD 3.000, L 60 km)</t>
  </si>
  <si>
    <t>Las dos entradas eran supuestos, no medidas.</t>
  </si>
  <si>
    <t>La tasa medida es, respecto de la anterior</t>
  </si>
  <si>
    <t>El TPD real del paso es más del doble del supuesto, así que la tasa cae.</t>
  </si>
  <si>
    <t>HIPÓTESIS DECLARADA · el año que falta en el aforo  [H]</t>
  </si>
  <si>
    <t>El registro de fallecidos cubre CINCO años (2015–2019). El aforo de INVÍAS cubre CUATRO en la</t>
  </si>
  <si>
    <t>estación 244 (2015–2018) y TRES en la 243 (el libro no publica 2018). El cálculo multiplica el TPD</t>
  </si>
  <si>
    <t>medido por los cinco años, es decir, SUPONE que 2019 tuvo un tránsito parecido. Eso es una</t>
  </si>
  <si>
    <t>hipótesis y aquí se declara en vez de quedar escondida en el promedio.</t>
  </si>
  <si>
    <t>No es una hipótesis ciega: el aforo del peaje Cajamarca de 2019 SÍ existe y sirve de control.</t>
  </si>
  <si>
    <t>TPD del peaje Cajamarca en 2019</t>
  </si>
  <si>
    <t>Medido. Se desvía de la media 2015–2018 de la estación 244 en menos del 5 %.</t>
  </si>
  <si>
    <t>Media 2015–2019 incorporando ese año</t>
  </si>
  <si>
    <t>Escenario alternativo: cinco años, con 2019 tomado del peaje.</t>
  </si>
  <si>
    <t>Tasa del paso con ese escenario</t>
  </si>
  <si>
    <t>Frente a la publicada arriba.</t>
  </si>
  <si>
    <t>Cuánto mueve la hipótesis la tasa publicada</t>
  </si>
  <si>
    <t>Si esta cifra fuera grande, la tasa no sería publicable. No lo es.</t>
  </si>
  <si>
    <t>CÓMO SE LEE</t>
  </si>
  <si>
    <t>Las dos primeras filas usan los mismos 42 fallecidos y difieren solo en el denominador: la primera los</t>
  </si>
  <si>
    <t>reparte sobre los 74 km del corredor que la ANSV nombra; la segunda sobre los 45 km donde caen los cuatro</t>
  </si>
  <si>
    <t>sectores que los aportan. La segunda es mayor porque concentra la misma mortalidad en menos kilómetros.</t>
  </si>
  <si>
    <t>La fila de control usa los 52 fallecidos del corredor completo, incluidos los diez del tramo</t>
  </si>
  <si>
    <t>La Paila – Calarcá que no pertenecen al cruce. Sirve de cota superior, no de resultado.</t>
  </si>
  <si>
    <t>Sensibilidad de la tasa a las dos entradas que antes eran hipótesis</t>
  </si>
  <si>
    <t>Ya no hace falta para publicar un resultado, pero muestra cuánto dependía la cifra anterior de supuestos. La casilla verde es el valor medido.</t>
  </si>
  <si>
    <t>TPD \ L (km)</t>
  </si>
  <si>
    <t>Verde: el valor con las dos entradas medidas. El resto de la tabla existe para mostrar de qué dependía la cifra que se publicaba antes.</t>
  </si>
  <si>
    <t>Exposición de la carga pesada en el descenso del paso</t>
  </si>
  <si>
    <t>Es el grupo que la Ferropista captaría. Todas las cifras salen de la estación 244, que mide el paso.</t>
  </si>
  <si>
    <t>Concepto</t>
  </si>
  <si>
    <t>Nota</t>
  </si>
  <si>
    <t>TPD total del paso, media 2015–2018</t>
  </si>
  <si>
    <t>Estación 244 de INVÍAS.</t>
  </si>
  <si>
    <t>TPD de camiones en el paso</t>
  </si>
  <si>
    <t>Composición vehicular publicada por INVÍAS.</t>
  </si>
  <si>
    <t>Participación de los camiones</t>
  </si>
  <si>
    <t>La clase «camiones» de esta fuente incluye los de dos ejes: es cota superior.</t>
  </si>
  <si>
    <t>Longitud del paso (km)</t>
  </si>
  <si>
    <t>Vehículos-km diarios de camiones</t>
  </si>
  <si>
    <t>TPD de camiones × longitud.</t>
  </si>
  <si>
    <t>Vehículos-km anuales de camiones</t>
  </si>
  <si>
    <t>Exposición anual del grupo que haría el cruce por el túnel.</t>
  </si>
  <si>
    <t>Captación prevista por la Ferropista</t>
  </si>
  <si>
    <t>Ponencia ARCS / UC Consult, dia. 10. Cifra del proponente, no auditada.</t>
  </si>
  <si>
    <t>Vehículos-km anuales que dejarían el paso</t>
  </si>
  <si>
    <t>Estimación condicionada a esa captación. No es un pronóstico.</t>
  </si>
  <si>
    <t>QUÉ PUEDE AFIRMARSE</t>
  </si>
  <si>
    <t>La tasa de mortalidad del corredor, normalizada por exposición, con las dos entradas medidas y el</t>
  </si>
  <si>
    <t>periodo de fallecidos y de aforo coincidiendo por primera vez.</t>
  </si>
  <si>
    <t>La exposición anual en vehículos-kilómetro de la carga pesada que hace el cruce.</t>
  </si>
  <si>
    <t>QUÉ NO PUEDE AFIRMARSE</t>
  </si>
  <si>
    <t>Cuántas muertes evitaría la Ferropista. Eso exige un modelo de siniestralidad calibrado con microdatos</t>
  </si>
  <si>
    <t>por siniestro (tipo de vehículo, causa, condición de la víctima) que no están públicos para este corredor.</t>
  </si>
  <si>
    <t>Que la tasa de hoy sea esta: la línea base es anterior al Túnel de La Línea y sobrestima el riesgo actual.</t>
  </si>
  <si>
    <t>Serie histórica del paso — estación 244, Calarcá – Cajamarca</t>
  </si>
  <si>
    <t>Datos de INVÍAS 1997–2018 [F]. Las columnas de TPD por clase se calculan por fórmula [CP]. Alimenta la figura de la actividad.</t>
  </si>
  <si>
    <t>Año</t>
  </si>
  <si>
    <t>TPD total</t>
  </si>
  <si>
    <t>% autos</t>
  </si>
  <si>
    <t>% buses</t>
  </si>
  <si>
    <t>% camiones</t>
  </si>
  <si>
    <t>TPD camiones</t>
  </si>
  <si>
    <t>TPD no pesados</t>
  </si>
  <si>
    <t>En 2018 la participación de camiones cae de 59 % a 44 % tras veinte años estable entre 60 % y 69 %. Sin contrastar: no usar ese año aislado.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</si>
</sst>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193F77"/>
      <name val="Arial"/>
      <family val="2"/>
    </font>
    <font>
      <i/>
      <sz val="10"/>
      <color rgb="FF475569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9"/>
      <color rgb="FFFFFFFF"/>
      <name val="Arial"/>
      <family val="2"/>
    </font>
    <font>
      <i/>
      <sz val="8"/>
      <color rgb="FF475569"/>
      <name val="Arial"/>
      <family val="2"/>
    </font>
    <font>
      <b/>
      <sz val="11"/>
      <color rgb="FF0F7B55"/>
      <name val="Arial"/>
      <family val="2"/>
    </font>
    <font>
      <sz val="9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193F77"/>
      </patternFill>
    </fill>
    <fill>
      <patternFill patternType="solid">
        <fgColor rgb="FFFFFF00"/>
      </patternFill>
    </fill>
    <fill>
      <patternFill patternType="solid">
        <fgColor rgb="FFDCFCE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0" borderId="1" xfId="0" applyFont="1" applyBorder="1"/>
    <xf numFmtId="0" fontId="6" fillId="0" borderId="1" xfId="0" applyFont="1" applyBorder="1"/>
    <xf numFmtId="3" fontId="3" fillId="0" borderId="1" xfId="0" applyNumberFormat="1" applyFont="1" applyBorder="1"/>
    <xf numFmtId="2" fontId="7" fillId="0" borderId="1" xfId="0" applyNumberFormat="1" applyFont="1" applyBorder="1"/>
    <xf numFmtId="2" fontId="3" fillId="0" borderId="1" xfId="0" applyNumberFormat="1" applyFont="1" applyBorder="1"/>
    <xf numFmtId="2" fontId="8" fillId="4" borderId="0" xfId="0" applyNumberFormat="1" applyFont="1" applyFill="1"/>
    <xf numFmtId="0" fontId="4" fillId="0" borderId="0" xfId="0" applyFont="1"/>
    <xf numFmtId="0" fontId="6" fillId="0" borderId="0" xfId="0" applyFont="1"/>
    <xf numFmtId="9" fontId="4" fillId="0" borderId="0" xfId="0" applyNumberFormat="1" applyFont="1"/>
    <xf numFmtId="164" fontId="3" fillId="0" borderId="1" xfId="0" applyNumberFormat="1" applyFont="1" applyBorder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4" fillId="2" borderId="1" xfId="0" applyFont="1" applyFill="1" applyBorder="1"/>
    <xf numFmtId="2" fontId="7" fillId="5" borderId="1" xfId="0" applyNumberFormat="1" applyFont="1" applyFill="1" applyBorder="1"/>
    <xf numFmtId="1" fontId="3" fillId="0" borderId="1" xfId="0" applyNumberFormat="1" applyFont="1" applyBorder="1"/>
    <xf numFmtId="9" fontId="8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3"/>
  <sheetViews>
    <sheetView workbookViewId="0"/>
  </sheetViews>
  <sheetFormatPr baseColWidth="10" defaultColWidth="8.88671875" defaultRowHeight="14.4" x14ac:dyDescent="0.3"/>
  <cols>
    <col min="1" max="1" width="30" customWidth="1"/>
    <col min="2" max="2" width="104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/>
      <c r="B4" s="3"/>
    </row>
    <row r="5" spans="1:2" x14ac:dyDescent="0.3">
      <c r="A5" s="4" t="s">
        <v>2</v>
      </c>
      <c r="B5" s="3"/>
    </row>
    <row r="6" spans="1:2" x14ac:dyDescent="0.3">
      <c r="A6" s="3" t="s">
        <v>3</v>
      </c>
      <c r="B6" s="3" t="s">
        <v>4</v>
      </c>
    </row>
    <row r="7" spans="1:2" x14ac:dyDescent="0.3">
      <c r="A7" s="3" t="s">
        <v>5</v>
      </c>
      <c r="B7" s="3" t="s">
        <v>6</v>
      </c>
    </row>
    <row r="8" spans="1:2" x14ac:dyDescent="0.3">
      <c r="A8" s="3" t="s">
        <v>7</v>
      </c>
      <c r="B8" s="3" t="s">
        <v>8</v>
      </c>
    </row>
    <row r="9" spans="1:2" x14ac:dyDescent="0.3">
      <c r="A9" s="3"/>
      <c r="B9" s="3"/>
    </row>
    <row r="10" spans="1:2" x14ac:dyDescent="0.3">
      <c r="A10" s="4" t="s">
        <v>9</v>
      </c>
      <c r="B10" s="3"/>
    </row>
    <row r="11" spans="1:2" x14ac:dyDescent="0.3">
      <c r="A11" s="3"/>
      <c r="B11" s="3" t="s">
        <v>10</v>
      </c>
    </row>
    <row r="12" spans="1:2" x14ac:dyDescent="0.3">
      <c r="A12" s="3"/>
      <c r="B12" s="3" t="s">
        <v>11</v>
      </c>
    </row>
    <row r="13" spans="1:2" x14ac:dyDescent="0.3">
      <c r="A13" s="3"/>
      <c r="B13" s="3" t="s">
        <v>12</v>
      </c>
    </row>
    <row r="14" spans="1:2" x14ac:dyDescent="0.3">
      <c r="A14" s="3"/>
      <c r="B14" s="3" t="s">
        <v>13</v>
      </c>
    </row>
    <row r="15" spans="1:2" x14ac:dyDescent="0.3">
      <c r="A15" s="3"/>
      <c r="B15" s="3" t="s">
        <v>14</v>
      </c>
    </row>
    <row r="16" spans="1:2" x14ac:dyDescent="0.3">
      <c r="A16" s="3"/>
      <c r="B16" s="3" t="s">
        <v>15</v>
      </c>
    </row>
    <row r="17" spans="1:2" x14ac:dyDescent="0.3">
      <c r="A17" s="3"/>
      <c r="B17" s="3"/>
    </row>
    <row r="18" spans="1:2" x14ac:dyDescent="0.3">
      <c r="A18" s="4" t="s">
        <v>16</v>
      </c>
      <c r="B18" s="3"/>
    </row>
    <row r="19" spans="1:2" x14ac:dyDescent="0.3">
      <c r="A19" s="3"/>
      <c r="B19" s="3" t="s">
        <v>17</v>
      </c>
    </row>
    <row r="20" spans="1:2" x14ac:dyDescent="0.3">
      <c r="A20" s="3"/>
      <c r="B20" s="3" t="s">
        <v>18</v>
      </c>
    </row>
    <row r="21" spans="1:2" x14ac:dyDescent="0.3">
      <c r="A21" s="3"/>
      <c r="B21" s="3" t="s">
        <v>19</v>
      </c>
    </row>
    <row r="22" spans="1:2" x14ac:dyDescent="0.3">
      <c r="A22" s="3"/>
      <c r="B22" s="3"/>
    </row>
    <row r="23" spans="1:2" x14ac:dyDescent="0.3">
      <c r="A23" s="4" t="s">
        <v>20</v>
      </c>
      <c r="B23" s="3"/>
    </row>
    <row r="24" spans="1:2" x14ac:dyDescent="0.3">
      <c r="A24" s="3"/>
      <c r="B24" s="3" t="s">
        <v>21</v>
      </c>
    </row>
    <row r="25" spans="1:2" x14ac:dyDescent="0.3">
      <c r="A25" s="3"/>
      <c r="B25" s="3" t="s">
        <v>22</v>
      </c>
    </row>
    <row r="26" spans="1:2" x14ac:dyDescent="0.3">
      <c r="A26" s="3"/>
      <c r="B26" s="3" t="s">
        <v>23</v>
      </c>
    </row>
    <row r="27" spans="1:2" x14ac:dyDescent="0.3">
      <c r="A27" s="3"/>
      <c r="B27" s="3" t="s">
        <v>24</v>
      </c>
    </row>
    <row r="28" spans="1:2" x14ac:dyDescent="0.3">
      <c r="A28" s="3"/>
      <c r="B28" s="3" t="s">
        <v>25</v>
      </c>
    </row>
    <row r="29" spans="1:2" x14ac:dyDescent="0.3">
      <c r="A29" s="3"/>
      <c r="B29" s="3"/>
    </row>
    <row r="30" spans="1:2" x14ac:dyDescent="0.3">
      <c r="A30" s="4" t="s">
        <v>26</v>
      </c>
      <c r="B30" s="3"/>
    </row>
    <row r="31" spans="1:2" x14ac:dyDescent="0.3">
      <c r="A31" s="3" t="s">
        <v>27</v>
      </c>
      <c r="B31" s="3" t="s">
        <v>28</v>
      </c>
    </row>
    <row r="32" spans="1:2" x14ac:dyDescent="0.3">
      <c r="A32" s="3" t="s">
        <v>29</v>
      </c>
      <c r="B32" s="3" t="s">
        <v>30</v>
      </c>
    </row>
    <row r="33" spans="1:2" x14ac:dyDescent="0.3">
      <c r="A33" s="3" t="s">
        <v>31</v>
      </c>
      <c r="B33" s="3" t="s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7"/>
  <sheetViews>
    <sheetView workbookViewId="0"/>
  </sheetViews>
  <sheetFormatPr baseColWidth="10" defaultColWidth="8.88671875" defaultRowHeight="14.4" x14ac:dyDescent="0.3"/>
  <cols>
    <col min="1" max="1" width="46" customWidth="1"/>
    <col min="2" max="2" width="14" customWidth="1"/>
    <col min="3" max="3" width="8" customWidth="1"/>
    <col min="4" max="4" width="78" customWidth="1"/>
  </cols>
  <sheetData>
    <row r="1" spans="1:4" ht="17.399999999999999" x14ac:dyDescent="0.3">
      <c r="A1" s="1" t="s">
        <v>33</v>
      </c>
    </row>
    <row r="2" spans="1:4" x14ac:dyDescent="0.3">
      <c r="A2" s="2" t="s">
        <v>34</v>
      </c>
    </row>
    <row r="4" spans="1:4" ht="30" customHeight="1" x14ac:dyDescent="0.3">
      <c r="A4" s="5" t="s">
        <v>35</v>
      </c>
      <c r="B4" s="5" t="s">
        <v>36</v>
      </c>
      <c r="C4" s="5" t="s">
        <v>37</v>
      </c>
      <c r="D4" s="5" t="s">
        <v>38</v>
      </c>
    </row>
    <row r="5" spans="1:4" x14ac:dyDescent="0.3">
      <c r="A5" s="6" t="s">
        <v>39</v>
      </c>
      <c r="B5" s="6">
        <v>42</v>
      </c>
      <c r="C5" s="7" t="s">
        <v>27</v>
      </c>
      <c r="D5" s="8" t="s">
        <v>40</v>
      </c>
    </row>
    <row r="6" spans="1:4" x14ac:dyDescent="0.3">
      <c r="A6" s="6" t="s">
        <v>41</v>
      </c>
      <c r="B6" s="6">
        <v>52</v>
      </c>
      <c r="C6" s="7" t="s">
        <v>27</v>
      </c>
      <c r="D6" s="8" t="s">
        <v>42</v>
      </c>
    </row>
    <row r="7" spans="1:4" x14ac:dyDescent="0.3">
      <c r="A7" s="6" t="s">
        <v>43</v>
      </c>
      <c r="B7" s="6">
        <v>5</v>
      </c>
      <c r="C7" s="7" t="s">
        <v>27</v>
      </c>
      <c r="D7" s="8" t="s">
        <v>44</v>
      </c>
    </row>
    <row r="8" spans="1:4" x14ac:dyDescent="0.3">
      <c r="A8" s="6" t="s">
        <v>45</v>
      </c>
      <c r="B8" s="6">
        <v>6676</v>
      </c>
      <c r="C8" s="7" t="s">
        <v>27</v>
      </c>
      <c r="D8" s="8" t="s">
        <v>46</v>
      </c>
    </row>
    <row r="9" spans="1:4" x14ac:dyDescent="0.3">
      <c r="A9" s="6" t="s">
        <v>47</v>
      </c>
      <c r="B9" s="6">
        <v>7043</v>
      </c>
      <c r="C9" s="7" t="s">
        <v>27</v>
      </c>
      <c r="D9" s="8" t="s">
        <v>48</v>
      </c>
    </row>
    <row r="10" spans="1:4" x14ac:dyDescent="0.3">
      <c r="A10" s="6" t="s">
        <v>49</v>
      </c>
      <c r="B10" s="6">
        <v>45</v>
      </c>
      <c r="C10" s="7" t="s">
        <v>27</v>
      </c>
      <c r="D10" s="8" t="s">
        <v>50</v>
      </c>
    </row>
    <row r="11" spans="1:4" x14ac:dyDescent="0.3">
      <c r="A11" s="6" t="s">
        <v>51</v>
      </c>
      <c r="B11" s="6">
        <v>29</v>
      </c>
      <c r="C11" s="7" t="s">
        <v>27</v>
      </c>
      <c r="D11" s="8" t="s">
        <v>52</v>
      </c>
    </row>
    <row r="12" spans="1:4" x14ac:dyDescent="0.3">
      <c r="A12" s="6" t="s">
        <v>53</v>
      </c>
      <c r="B12" s="6">
        <v>3708</v>
      </c>
      <c r="C12" s="7" t="s">
        <v>27</v>
      </c>
      <c r="D12" s="8" t="s">
        <v>54</v>
      </c>
    </row>
    <row r="13" spans="1:4" x14ac:dyDescent="0.3">
      <c r="A13" s="6" t="s">
        <v>55</v>
      </c>
      <c r="B13" s="6">
        <v>6351</v>
      </c>
      <c r="C13" s="7" t="s">
        <v>27</v>
      </c>
      <c r="D13" s="8" t="s">
        <v>56</v>
      </c>
    </row>
    <row r="15" spans="1:4" x14ac:dyDescent="0.3">
      <c r="A15" s="4" t="s">
        <v>57</v>
      </c>
    </row>
    <row r="16" spans="1:4" x14ac:dyDescent="0.3">
      <c r="A16" s="6" t="s">
        <v>58</v>
      </c>
      <c r="B16" s="6">
        <f>B10+B11</f>
        <v>74</v>
      </c>
      <c r="C16" s="7" t="s">
        <v>29</v>
      </c>
      <c r="D16" s="8" t="s">
        <v>59</v>
      </c>
    </row>
    <row r="17" spans="1:4" x14ac:dyDescent="0.3">
      <c r="A17" s="6" t="s">
        <v>60</v>
      </c>
      <c r="B17" s="6">
        <f>ROUND((B9*B11+B8*B10)/B16,0)</f>
        <v>6820</v>
      </c>
      <c r="C17" s="7" t="s">
        <v>29</v>
      </c>
      <c r="D17" s="8" t="s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tabSelected="1" workbookViewId="0">
      <selection activeCell="G5" sqref="G5"/>
    </sheetView>
  </sheetViews>
  <sheetFormatPr baseColWidth="10" defaultColWidth="8.88671875" defaultRowHeight="14.4" x14ac:dyDescent="0.3"/>
  <cols>
    <col min="1" max="1" width="46" customWidth="1"/>
    <col min="2" max="2" width="12" customWidth="1"/>
    <col min="3" max="3" width="11" customWidth="1"/>
    <col min="4" max="4" width="10" customWidth="1"/>
    <col min="5" max="5" width="8" customWidth="1"/>
    <col min="6" max="6" width="21" customWidth="1"/>
    <col min="7" max="7" width="12" customWidth="1"/>
    <col min="8" max="8" width="8" customWidth="1"/>
  </cols>
  <sheetData>
    <row r="1" spans="1:8" ht="17.399999999999999" x14ac:dyDescent="0.3">
      <c r="A1" s="1" t="s">
        <v>62</v>
      </c>
    </row>
    <row r="2" spans="1:8" x14ac:dyDescent="0.3">
      <c r="A2" s="2" t="s">
        <v>63</v>
      </c>
    </row>
    <row r="4" spans="1:8" ht="30" customHeight="1" x14ac:dyDescent="0.3">
      <c r="A4" s="5" t="s">
        <v>64</v>
      </c>
      <c r="B4" s="5" t="s">
        <v>65</v>
      </c>
      <c r="C4" s="5" t="s">
        <v>66</v>
      </c>
      <c r="D4" s="5" t="s">
        <v>67</v>
      </c>
      <c r="E4" s="5" t="s">
        <v>68</v>
      </c>
      <c r="F4" s="5" t="s">
        <v>69</v>
      </c>
      <c r="G4" s="5" t="s">
        <v>3</v>
      </c>
      <c r="H4" s="5" t="s">
        <v>37</v>
      </c>
    </row>
    <row r="5" spans="1:8" x14ac:dyDescent="0.3">
      <c r="A5" s="7" t="s">
        <v>70</v>
      </c>
      <c r="B5" s="6">
        <f>'2. Entradas'!B5</f>
        <v>42</v>
      </c>
      <c r="C5" s="6">
        <f>'2. Entradas'!B17</f>
        <v>6820</v>
      </c>
      <c r="D5" s="6">
        <f>'2. Entradas'!B16</f>
        <v>74</v>
      </c>
      <c r="E5" s="6">
        <f>'2. Entradas'!B7</f>
        <v>5</v>
      </c>
      <c r="F5" s="9">
        <f>C5*365*D5*E5</f>
        <v>921041000</v>
      </c>
      <c r="G5" s="10">
        <f>B5/F5*100000000</f>
        <v>4.560057587012956</v>
      </c>
      <c r="H5" s="7" t="s">
        <v>29</v>
      </c>
    </row>
    <row r="6" spans="1:8" x14ac:dyDescent="0.3">
      <c r="A6" s="7" t="s">
        <v>71</v>
      </c>
      <c r="B6" s="6">
        <f>'2. Entradas'!B5</f>
        <v>42</v>
      </c>
      <c r="C6" s="6">
        <f>'2. Entradas'!B8</f>
        <v>6676</v>
      </c>
      <c r="D6" s="6">
        <f>'2. Entradas'!B10</f>
        <v>45</v>
      </c>
      <c r="E6" s="6">
        <f>'2. Entradas'!B7</f>
        <v>5</v>
      </c>
      <c r="F6" s="9">
        <f>C6*365*D6*E6</f>
        <v>548266500</v>
      </c>
      <c r="G6" s="10">
        <f>B6/F6*100000000</f>
        <v>7.6605081652809357</v>
      </c>
      <c r="H6" s="7" t="s">
        <v>29</v>
      </c>
    </row>
    <row r="7" spans="1:8" x14ac:dyDescent="0.3">
      <c r="A7" s="6" t="s">
        <v>72</v>
      </c>
      <c r="B7" s="6">
        <f>'2. Entradas'!B6</f>
        <v>52</v>
      </c>
      <c r="C7" s="6">
        <f>'2. Entradas'!B17</f>
        <v>6820</v>
      </c>
      <c r="D7" s="6">
        <f>'2. Entradas'!B16</f>
        <v>74</v>
      </c>
      <c r="E7" s="6">
        <f>'2. Entradas'!B7</f>
        <v>5</v>
      </c>
      <c r="F7" s="9">
        <f>C7*365*D7*E7</f>
        <v>921041000</v>
      </c>
      <c r="G7" s="11">
        <f>B7/F7*100000000</f>
        <v>5.6457855839208033</v>
      </c>
      <c r="H7" s="7" t="s">
        <v>29</v>
      </c>
    </row>
    <row r="10" spans="1:8" x14ac:dyDescent="0.3">
      <c r="A10" s="4" t="s">
        <v>73</v>
      </c>
    </row>
    <row r="11" spans="1:8" x14ac:dyDescent="0.3">
      <c r="A11" s="3" t="s">
        <v>74</v>
      </c>
      <c r="B11" s="12">
        <f>B5/(3000*365*60*E5)*100000000</f>
        <v>12.785388127853881</v>
      </c>
      <c r="C11" s="13" t="s">
        <v>31</v>
      </c>
      <c r="D11" s="14" t="s">
        <v>75</v>
      </c>
    </row>
    <row r="12" spans="1:8" x14ac:dyDescent="0.3">
      <c r="A12" s="3" t="s">
        <v>76</v>
      </c>
      <c r="B12" s="15">
        <f>G5/B11</f>
        <v>0.35666164698422764</v>
      </c>
      <c r="C12" s="13" t="s">
        <v>29</v>
      </c>
      <c r="D12" s="14" t="s">
        <v>77</v>
      </c>
    </row>
    <row r="14" spans="1:8" x14ac:dyDescent="0.3">
      <c r="A14" s="4" t="s">
        <v>78</v>
      </c>
    </row>
    <row r="15" spans="1:8" x14ac:dyDescent="0.3">
      <c r="A15" s="14" t="s">
        <v>79</v>
      </c>
    </row>
    <row r="16" spans="1:8" x14ac:dyDescent="0.3">
      <c r="A16" s="14" t="s">
        <v>80</v>
      </c>
    </row>
    <row r="17" spans="1:4" x14ac:dyDescent="0.3">
      <c r="A17" s="14" t="s">
        <v>81</v>
      </c>
    </row>
    <row r="18" spans="1:4" x14ac:dyDescent="0.3">
      <c r="A18" s="14" t="s">
        <v>82</v>
      </c>
    </row>
    <row r="19" spans="1:4" x14ac:dyDescent="0.3">
      <c r="A19" s="14"/>
    </row>
    <row r="20" spans="1:4" x14ac:dyDescent="0.3">
      <c r="A20" s="14" t="s">
        <v>83</v>
      </c>
    </row>
    <row r="22" spans="1:4" x14ac:dyDescent="0.3">
      <c r="A22" s="6" t="s">
        <v>84</v>
      </c>
      <c r="B22" s="9">
        <f>'2. Entradas'!B13</f>
        <v>6351</v>
      </c>
      <c r="C22" s="7" t="s">
        <v>27</v>
      </c>
      <c r="D22" s="8" t="s">
        <v>85</v>
      </c>
    </row>
    <row r="23" spans="1:4" x14ac:dyDescent="0.3">
      <c r="A23" s="6" t="s">
        <v>86</v>
      </c>
      <c r="B23" s="9">
        <f>('2. Entradas'!B8*4+'2. Entradas'!B13)/5</f>
        <v>6611</v>
      </c>
      <c r="C23" s="7" t="s">
        <v>29</v>
      </c>
      <c r="D23" s="8" t="s">
        <v>87</v>
      </c>
    </row>
    <row r="24" spans="1:4" x14ac:dyDescent="0.3">
      <c r="A24" s="6" t="s">
        <v>88</v>
      </c>
      <c r="B24" s="11">
        <f>B5/(B23*365*D6*E5)*100000000</f>
        <v>7.7358270324331455</v>
      </c>
      <c r="C24" s="7" t="s">
        <v>29</v>
      </c>
      <c r="D24" s="8" t="s">
        <v>89</v>
      </c>
    </row>
    <row r="25" spans="1:4" x14ac:dyDescent="0.3">
      <c r="A25" s="6" t="s">
        <v>90</v>
      </c>
      <c r="B25" s="16">
        <f>ABS(B24-G6)/G6</f>
        <v>9.8320980184540569E-3</v>
      </c>
      <c r="C25" s="7" t="s">
        <v>29</v>
      </c>
      <c r="D25" s="8" t="s">
        <v>91</v>
      </c>
    </row>
    <row r="28" spans="1:4" x14ac:dyDescent="0.3">
      <c r="A28" s="13" t="s">
        <v>92</v>
      </c>
    </row>
    <row r="29" spans="1:4" x14ac:dyDescent="0.3">
      <c r="A29" s="14" t="s">
        <v>93</v>
      </c>
    </row>
    <row r="30" spans="1:4" x14ac:dyDescent="0.3">
      <c r="A30" s="14" t="s">
        <v>94</v>
      </c>
    </row>
    <row r="31" spans="1:4" x14ac:dyDescent="0.3">
      <c r="A31" s="14" t="s">
        <v>95</v>
      </c>
    </row>
    <row r="32" spans="1:4" x14ac:dyDescent="0.3">
      <c r="A32" s="14"/>
    </row>
    <row r="33" spans="1:1" x14ac:dyDescent="0.3">
      <c r="A33" s="14" t="s">
        <v>96</v>
      </c>
    </row>
    <row r="34" spans="1:1" x14ac:dyDescent="0.3">
      <c r="A34" s="14" t="s">
        <v>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4"/>
  <sheetViews>
    <sheetView workbookViewId="0"/>
  </sheetViews>
  <sheetFormatPr baseColWidth="10" defaultColWidth="8.88671875" defaultRowHeight="14.4" x14ac:dyDescent="0.3"/>
  <cols>
    <col min="1" max="1" width="14" customWidth="1"/>
    <col min="2" max="7" width="11" customWidth="1"/>
  </cols>
  <sheetData>
    <row r="1" spans="1:7" ht="17.399999999999999" x14ac:dyDescent="0.3">
      <c r="A1" s="1" t="s">
        <v>98</v>
      </c>
    </row>
    <row r="2" spans="1:7" x14ac:dyDescent="0.3">
      <c r="A2" s="2" t="s">
        <v>99</v>
      </c>
    </row>
    <row r="4" spans="1:7" x14ac:dyDescent="0.3">
      <c r="A4" s="17" t="s">
        <v>100</v>
      </c>
      <c r="B4" s="18">
        <v>40</v>
      </c>
      <c r="C4" s="18">
        <v>45</v>
      </c>
      <c r="D4" s="18">
        <v>60</v>
      </c>
      <c r="E4" s="18">
        <v>74</v>
      </c>
      <c r="F4" s="18">
        <v>80</v>
      </c>
      <c r="G4" s="18">
        <v>90</v>
      </c>
    </row>
    <row r="5" spans="1:7" x14ac:dyDescent="0.3">
      <c r="A5" s="19">
        <v>3000</v>
      </c>
      <c r="B5" s="11">
        <f>'3. Tasa'!$B$5/($A5*365*B$4*'3. Tasa'!$E$5)*100000000</f>
        <v>19.17808219178082</v>
      </c>
      <c r="C5" s="11">
        <f>'3. Tasa'!$B$5/($A5*365*C$4*'3. Tasa'!$E$5)*100000000</f>
        <v>17.047184170471841</v>
      </c>
      <c r="D5" s="11">
        <f>'3. Tasa'!$B$5/($A5*365*D$4*'3. Tasa'!$E$5)*100000000</f>
        <v>12.785388127853881</v>
      </c>
      <c r="E5" s="11">
        <f>'3. Tasa'!$B$5/($A5*365*E$4*'3. Tasa'!$E$5)*100000000</f>
        <v>10.366530914476121</v>
      </c>
      <c r="F5" s="11">
        <f>'3. Tasa'!$B$5/($A5*365*F$4*'3. Tasa'!$E$5)*100000000</f>
        <v>9.5890410958904102</v>
      </c>
      <c r="G5" s="11">
        <f>'3. Tasa'!$B$5/($A5*365*G$4*'3. Tasa'!$E$5)*100000000</f>
        <v>8.5235920852359204</v>
      </c>
    </row>
    <row r="6" spans="1:7" x14ac:dyDescent="0.3">
      <c r="A6" s="19">
        <v>4000</v>
      </c>
      <c r="B6" s="11">
        <f>'3. Tasa'!$B$5/($A6*365*B$4*'3. Tasa'!$E$5)*100000000</f>
        <v>14.383561643835618</v>
      </c>
      <c r="C6" s="11">
        <f>'3. Tasa'!$B$5/($A6*365*C$4*'3. Tasa'!$E$5)*100000000</f>
        <v>12.785388127853881</v>
      </c>
      <c r="D6" s="11">
        <f>'3. Tasa'!$B$5/($A6*365*D$4*'3. Tasa'!$E$5)*100000000</f>
        <v>9.5890410958904102</v>
      </c>
      <c r="E6" s="11">
        <f>'3. Tasa'!$B$5/($A6*365*E$4*'3. Tasa'!$E$5)*100000000</f>
        <v>7.77489818585709</v>
      </c>
      <c r="F6" s="11">
        <f>'3. Tasa'!$B$5/($A6*365*F$4*'3. Tasa'!$E$5)*100000000</f>
        <v>7.191780821917809</v>
      </c>
      <c r="G6" s="11">
        <f>'3. Tasa'!$B$5/($A6*365*G$4*'3. Tasa'!$E$5)*100000000</f>
        <v>6.3926940639269407</v>
      </c>
    </row>
    <row r="7" spans="1:7" x14ac:dyDescent="0.3">
      <c r="A7" s="19">
        <v>5000</v>
      </c>
      <c r="B7" s="11">
        <f>'3. Tasa'!$B$5/($A7*365*B$4*'3. Tasa'!$E$5)*100000000</f>
        <v>11.506849315068493</v>
      </c>
      <c r="C7" s="11">
        <f>'3. Tasa'!$B$5/($A7*365*C$4*'3. Tasa'!$E$5)*100000000</f>
        <v>10.228310502283104</v>
      </c>
      <c r="D7" s="11">
        <f>'3. Tasa'!$B$5/($A7*365*D$4*'3. Tasa'!$E$5)*100000000</f>
        <v>7.6712328767123292</v>
      </c>
      <c r="E7" s="11">
        <f>'3. Tasa'!$B$5/($A7*365*E$4*'3. Tasa'!$E$5)*100000000</f>
        <v>6.2199185486856718</v>
      </c>
      <c r="F7" s="11">
        <f>'3. Tasa'!$B$5/($A7*365*F$4*'3. Tasa'!$E$5)*100000000</f>
        <v>5.7534246575342465</v>
      </c>
      <c r="G7" s="11">
        <f>'3. Tasa'!$B$5/($A7*365*G$4*'3. Tasa'!$E$5)*100000000</f>
        <v>5.1141552511415522</v>
      </c>
    </row>
    <row r="8" spans="1:7" x14ac:dyDescent="0.3">
      <c r="A8" s="19">
        <v>6000</v>
      </c>
      <c r="B8" s="11">
        <f>'3. Tasa'!$B$5/($A8*365*B$4*'3. Tasa'!$E$5)*100000000</f>
        <v>9.5890410958904102</v>
      </c>
      <c r="C8" s="11">
        <f>'3. Tasa'!$B$5/($A8*365*C$4*'3. Tasa'!$E$5)*100000000</f>
        <v>8.5235920852359204</v>
      </c>
      <c r="D8" s="11">
        <f>'3. Tasa'!$B$5/($A8*365*D$4*'3. Tasa'!$E$5)*100000000</f>
        <v>6.3926940639269407</v>
      </c>
      <c r="E8" s="11">
        <f>'3. Tasa'!$B$5/($A8*365*E$4*'3. Tasa'!$E$5)*100000000</f>
        <v>5.1832654572380603</v>
      </c>
      <c r="F8" s="11">
        <f>'3. Tasa'!$B$5/($A8*365*F$4*'3. Tasa'!$E$5)*100000000</f>
        <v>4.7945205479452051</v>
      </c>
      <c r="G8" s="11">
        <f>'3. Tasa'!$B$5/($A8*365*G$4*'3. Tasa'!$E$5)*100000000</f>
        <v>4.2617960426179602</v>
      </c>
    </row>
    <row r="9" spans="1:7" x14ac:dyDescent="0.3">
      <c r="A9" s="19">
        <v>6820</v>
      </c>
      <c r="B9" s="11">
        <f>'3. Tasa'!$B$5/($A9*365*B$4*'3. Tasa'!$E$5)*100000000</f>
        <v>8.4361065359739698</v>
      </c>
      <c r="C9" s="11">
        <f>'3. Tasa'!$B$5/($A9*365*C$4*'3. Tasa'!$E$5)*100000000</f>
        <v>7.4987613653101945</v>
      </c>
      <c r="D9" s="11">
        <f>'3. Tasa'!$B$5/($A9*365*D$4*'3. Tasa'!$E$5)*100000000</f>
        <v>5.624071023982645</v>
      </c>
      <c r="E9" s="20">
        <f>'3. Tasa'!$B$5/($A9*365*E$4*'3. Tasa'!$E$5)*100000000</f>
        <v>4.560057587012956</v>
      </c>
      <c r="F9" s="11">
        <f>'3. Tasa'!$B$5/($A9*365*F$4*'3. Tasa'!$E$5)*100000000</f>
        <v>4.2180532679869849</v>
      </c>
      <c r="G9" s="11">
        <f>'3. Tasa'!$B$5/($A9*365*G$4*'3. Tasa'!$E$5)*100000000</f>
        <v>3.7493806826550973</v>
      </c>
    </row>
    <row r="10" spans="1:7" x14ac:dyDescent="0.3">
      <c r="A10" s="19">
        <v>7000</v>
      </c>
      <c r="B10" s="11">
        <f>'3. Tasa'!$B$5/($A10*365*B$4*'3. Tasa'!$E$5)*100000000</f>
        <v>8.2191780821917799</v>
      </c>
      <c r="C10" s="11">
        <f>'3. Tasa'!$B$5/($A10*365*C$4*'3. Tasa'!$E$5)*100000000</f>
        <v>7.3059360730593603</v>
      </c>
      <c r="D10" s="11">
        <f>'3. Tasa'!$B$5/($A10*365*D$4*'3. Tasa'!$E$5)*100000000</f>
        <v>5.4794520547945202</v>
      </c>
      <c r="E10" s="11">
        <f>'3. Tasa'!$B$5/($A10*365*E$4*'3. Tasa'!$E$5)*100000000</f>
        <v>4.4427989633469087</v>
      </c>
      <c r="F10" s="11">
        <f>'3. Tasa'!$B$5/($A10*365*F$4*'3. Tasa'!$E$5)*100000000</f>
        <v>4.10958904109589</v>
      </c>
      <c r="G10" s="11">
        <f>'3. Tasa'!$B$5/($A10*365*G$4*'3. Tasa'!$E$5)*100000000</f>
        <v>3.6529680365296802</v>
      </c>
    </row>
    <row r="11" spans="1:7" x14ac:dyDescent="0.3">
      <c r="A11" s="19">
        <v>8000</v>
      </c>
      <c r="B11" s="11">
        <f>'3. Tasa'!$B$5/($A11*365*B$4*'3. Tasa'!$E$5)*100000000</f>
        <v>7.191780821917809</v>
      </c>
      <c r="C11" s="11">
        <f>'3. Tasa'!$B$5/($A11*365*C$4*'3. Tasa'!$E$5)*100000000</f>
        <v>6.3926940639269407</v>
      </c>
      <c r="D11" s="11">
        <f>'3. Tasa'!$B$5/($A11*365*D$4*'3. Tasa'!$E$5)*100000000</f>
        <v>4.7945205479452051</v>
      </c>
      <c r="E11" s="11">
        <f>'3. Tasa'!$B$5/($A11*365*E$4*'3. Tasa'!$E$5)*100000000</f>
        <v>3.887449092928545</v>
      </c>
      <c r="F11" s="11">
        <f>'3. Tasa'!$B$5/($A11*365*F$4*'3. Tasa'!$E$5)*100000000</f>
        <v>3.5958904109589045</v>
      </c>
      <c r="G11" s="11">
        <f>'3. Tasa'!$B$5/($A11*365*G$4*'3. Tasa'!$E$5)*100000000</f>
        <v>3.1963470319634704</v>
      </c>
    </row>
    <row r="14" spans="1:7" x14ac:dyDescent="0.3">
      <c r="A14" s="14" t="s">
        <v>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2"/>
  <sheetViews>
    <sheetView workbookViewId="0"/>
  </sheetViews>
  <sheetFormatPr baseColWidth="10" defaultColWidth="8.88671875" defaultRowHeight="14.4" x14ac:dyDescent="0.3"/>
  <cols>
    <col min="1" max="1" width="50" customWidth="1"/>
    <col min="2" max="2" width="18" customWidth="1"/>
    <col min="3" max="3" width="8" customWidth="1"/>
    <col min="4" max="4" width="70" customWidth="1"/>
  </cols>
  <sheetData>
    <row r="1" spans="1:4" ht="17.399999999999999" x14ac:dyDescent="0.3">
      <c r="A1" s="1" t="s">
        <v>102</v>
      </c>
    </row>
    <row r="2" spans="1:4" x14ac:dyDescent="0.3">
      <c r="A2" s="2" t="s">
        <v>103</v>
      </c>
    </row>
    <row r="4" spans="1:4" ht="30" customHeight="1" x14ac:dyDescent="0.3">
      <c r="A4" s="5" t="s">
        <v>104</v>
      </c>
      <c r="B4" s="5" t="s">
        <v>36</v>
      </c>
      <c r="C4" s="5" t="s">
        <v>37</v>
      </c>
      <c r="D4" s="5" t="s">
        <v>105</v>
      </c>
    </row>
    <row r="5" spans="1:4" x14ac:dyDescent="0.3">
      <c r="A5" s="6" t="s">
        <v>106</v>
      </c>
      <c r="B5" s="9">
        <f>'2. Entradas'!B8</f>
        <v>6676</v>
      </c>
      <c r="C5" s="7" t="s">
        <v>27</v>
      </c>
      <c r="D5" s="8" t="s">
        <v>107</v>
      </c>
    </row>
    <row r="6" spans="1:4" x14ac:dyDescent="0.3">
      <c r="A6" s="6" t="s">
        <v>108</v>
      </c>
      <c r="B6" s="9">
        <f>'2. Entradas'!B12</f>
        <v>3708</v>
      </c>
      <c r="C6" s="7" t="s">
        <v>27</v>
      </c>
      <c r="D6" s="8" t="s">
        <v>109</v>
      </c>
    </row>
    <row r="7" spans="1:4" x14ac:dyDescent="0.3">
      <c r="A7" s="6" t="s">
        <v>110</v>
      </c>
      <c r="B7" s="16">
        <f>B6/B5</f>
        <v>0.55542240862792092</v>
      </c>
      <c r="C7" s="7" t="s">
        <v>29</v>
      </c>
      <c r="D7" s="8" t="s">
        <v>111</v>
      </c>
    </row>
    <row r="8" spans="1:4" x14ac:dyDescent="0.3">
      <c r="A8" s="6" t="s">
        <v>112</v>
      </c>
      <c r="B8" s="21">
        <f>'2. Entradas'!B10</f>
        <v>45</v>
      </c>
      <c r="C8" s="7" t="s">
        <v>27</v>
      </c>
      <c r="D8" s="8" t="s">
        <v>52</v>
      </c>
    </row>
    <row r="9" spans="1:4" x14ac:dyDescent="0.3">
      <c r="A9" s="6" t="s">
        <v>113</v>
      </c>
      <c r="B9" s="9">
        <f>B6*B8</f>
        <v>166860</v>
      </c>
      <c r="C9" s="7" t="s">
        <v>29</v>
      </c>
      <c r="D9" s="8" t="s">
        <v>114</v>
      </c>
    </row>
    <row r="10" spans="1:4" x14ac:dyDescent="0.3">
      <c r="A10" s="6" t="s">
        <v>115</v>
      </c>
      <c r="B10" s="9">
        <f>B9*365</f>
        <v>60903900</v>
      </c>
      <c r="C10" s="7" t="s">
        <v>29</v>
      </c>
      <c r="D10" s="8" t="s">
        <v>116</v>
      </c>
    </row>
    <row r="11" spans="1:4" x14ac:dyDescent="0.3">
      <c r="A11" s="6" t="s">
        <v>117</v>
      </c>
      <c r="B11" s="22">
        <v>0.9</v>
      </c>
      <c r="C11" s="7" t="s">
        <v>27</v>
      </c>
      <c r="D11" s="8" t="s">
        <v>118</v>
      </c>
    </row>
    <row r="12" spans="1:4" x14ac:dyDescent="0.3">
      <c r="A12" s="6" t="s">
        <v>119</v>
      </c>
      <c r="B12" s="9">
        <f>B10*B11</f>
        <v>54813510</v>
      </c>
      <c r="C12" s="7" t="s">
        <v>29</v>
      </c>
      <c r="D12" s="8" t="s">
        <v>120</v>
      </c>
    </row>
    <row r="14" spans="1:4" x14ac:dyDescent="0.3">
      <c r="A14" s="13" t="s">
        <v>121</v>
      </c>
    </row>
    <row r="15" spans="1:4" x14ac:dyDescent="0.3">
      <c r="A15" s="14" t="s">
        <v>122</v>
      </c>
    </row>
    <row r="16" spans="1:4" x14ac:dyDescent="0.3">
      <c r="A16" s="14" t="s">
        <v>123</v>
      </c>
    </row>
    <row r="17" spans="1:1" x14ac:dyDescent="0.3">
      <c r="A17" s="14" t="s">
        <v>124</v>
      </c>
    </row>
    <row r="18" spans="1:1" x14ac:dyDescent="0.3">
      <c r="A18" s="14"/>
    </row>
    <row r="19" spans="1:1" x14ac:dyDescent="0.3">
      <c r="A19" s="13" t="s">
        <v>125</v>
      </c>
    </row>
    <row r="20" spans="1:1" x14ac:dyDescent="0.3">
      <c r="A20" s="14" t="s">
        <v>126</v>
      </c>
    </row>
    <row r="21" spans="1:1" x14ac:dyDescent="0.3">
      <c r="A21" s="14" t="s">
        <v>127</v>
      </c>
    </row>
    <row r="22" spans="1:1" x14ac:dyDescent="0.3">
      <c r="A22" s="14" t="s">
        <v>128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6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9" customWidth="1"/>
    <col min="2" max="2" width="12" customWidth="1"/>
    <col min="3" max="4" width="11" customWidth="1"/>
    <col min="5" max="5" width="13" customWidth="1"/>
    <col min="6" max="6" width="14" customWidth="1"/>
    <col min="7" max="7" width="15" customWidth="1"/>
  </cols>
  <sheetData>
    <row r="1" spans="1:7" ht="17.399999999999999" x14ac:dyDescent="0.3">
      <c r="A1" s="1" t="s">
        <v>129</v>
      </c>
    </row>
    <row r="2" spans="1:7" x14ac:dyDescent="0.3">
      <c r="A2" s="2" t="s">
        <v>130</v>
      </c>
    </row>
    <row r="4" spans="1:7" ht="30" customHeight="1" x14ac:dyDescent="0.3">
      <c r="A4" s="5" t="s">
        <v>131</v>
      </c>
      <c r="B4" s="5" t="s">
        <v>132</v>
      </c>
      <c r="C4" s="5" t="s">
        <v>133</v>
      </c>
      <c r="D4" s="5" t="s">
        <v>134</v>
      </c>
      <c r="E4" s="5" t="s">
        <v>135</v>
      </c>
      <c r="F4" s="5" t="s">
        <v>136</v>
      </c>
      <c r="G4" s="5" t="s">
        <v>137</v>
      </c>
    </row>
    <row r="5" spans="1:7" x14ac:dyDescent="0.3">
      <c r="A5" s="6">
        <v>1997</v>
      </c>
      <c r="B5" s="6">
        <v>3194</v>
      </c>
      <c r="C5" s="6">
        <v>32</v>
      </c>
      <c r="D5" s="6">
        <v>8</v>
      </c>
      <c r="E5" s="6">
        <v>60</v>
      </c>
      <c r="F5" s="6">
        <f t="shared" ref="F5:F24" si="0">IF(E5="","",ROUND(B5*E5/100,0))</f>
        <v>1916</v>
      </c>
      <c r="G5" s="6">
        <f t="shared" ref="G5:G24" si="1">IF(E5="","",B5-F5)</f>
        <v>1278</v>
      </c>
    </row>
    <row r="6" spans="1:7" x14ac:dyDescent="0.3">
      <c r="A6" s="6">
        <v>1998</v>
      </c>
      <c r="B6" s="6">
        <v>3546</v>
      </c>
      <c r="C6" s="6">
        <v>30</v>
      </c>
      <c r="D6" s="6">
        <v>7</v>
      </c>
      <c r="E6" s="6">
        <v>63</v>
      </c>
      <c r="F6" s="6">
        <f t="shared" si="0"/>
        <v>2234</v>
      </c>
      <c r="G6" s="6">
        <f t="shared" si="1"/>
        <v>1312</v>
      </c>
    </row>
    <row r="7" spans="1:7" x14ac:dyDescent="0.3">
      <c r="A7" s="6">
        <v>1999</v>
      </c>
      <c r="B7" s="6">
        <v>2932</v>
      </c>
      <c r="C7" s="6">
        <v>31</v>
      </c>
      <c r="D7" s="6">
        <v>6</v>
      </c>
      <c r="E7" s="6">
        <v>63</v>
      </c>
      <c r="F7" s="6">
        <f t="shared" si="0"/>
        <v>1847</v>
      </c>
      <c r="G7" s="6">
        <f t="shared" si="1"/>
        <v>1085</v>
      </c>
    </row>
    <row r="8" spans="1:7" x14ac:dyDescent="0.3">
      <c r="A8" s="6">
        <v>2000</v>
      </c>
      <c r="B8" s="6">
        <v>3147</v>
      </c>
      <c r="C8" s="6">
        <v>30</v>
      </c>
      <c r="D8" s="6">
        <v>8</v>
      </c>
      <c r="E8" s="6">
        <v>62</v>
      </c>
      <c r="F8" s="6">
        <f t="shared" si="0"/>
        <v>1951</v>
      </c>
      <c r="G8" s="6">
        <f t="shared" si="1"/>
        <v>1196</v>
      </c>
    </row>
    <row r="9" spans="1:7" x14ac:dyDescent="0.3">
      <c r="A9" s="6">
        <v>2001</v>
      </c>
      <c r="B9" s="6">
        <v>3093</v>
      </c>
      <c r="C9" s="6">
        <v>29</v>
      </c>
      <c r="D9" s="6">
        <v>8</v>
      </c>
      <c r="E9" s="6">
        <v>63</v>
      </c>
      <c r="F9" s="6">
        <f t="shared" si="0"/>
        <v>1949</v>
      </c>
      <c r="G9" s="6">
        <f t="shared" si="1"/>
        <v>1144</v>
      </c>
    </row>
    <row r="10" spans="1:7" x14ac:dyDescent="0.3">
      <c r="A10" s="6">
        <v>2002</v>
      </c>
      <c r="B10" s="6">
        <v>3374</v>
      </c>
      <c r="C10" s="6">
        <v>20</v>
      </c>
      <c r="D10" s="6">
        <v>12</v>
      </c>
      <c r="E10" s="6">
        <v>68</v>
      </c>
      <c r="F10" s="6">
        <f t="shared" si="0"/>
        <v>2294</v>
      </c>
      <c r="G10" s="6">
        <f t="shared" si="1"/>
        <v>1080</v>
      </c>
    </row>
    <row r="11" spans="1:7" x14ac:dyDescent="0.3">
      <c r="A11" s="6">
        <v>2003</v>
      </c>
      <c r="B11" s="6">
        <v>3412</v>
      </c>
      <c r="C11" s="6">
        <v>30</v>
      </c>
      <c r="D11" s="6">
        <v>12</v>
      </c>
      <c r="E11" s="6">
        <v>58</v>
      </c>
      <c r="F11" s="6">
        <f t="shared" si="0"/>
        <v>1979</v>
      </c>
      <c r="G11" s="6">
        <f t="shared" si="1"/>
        <v>1433</v>
      </c>
    </row>
    <row r="12" spans="1:7" x14ac:dyDescent="0.3">
      <c r="A12" s="6">
        <v>2004</v>
      </c>
      <c r="B12" s="6">
        <v>3600</v>
      </c>
      <c r="C12" s="6">
        <v>31</v>
      </c>
      <c r="D12" s="6">
        <v>10</v>
      </c>
      <c r="E12" s="6">
        <v>59</v>
      </c>
      <c r="F12" s="6">
        <f t="shared" si="0"/>
        <v>2124</v>
      </c>
      <c r="G12" s="6">
        <f t="shared" si="1"/>
        <v>1476</v>
      </c>
    </row>
    <row r="13" spans="1:7" x14ac:dyDescent="0.3">
      <c r="A13" s="6">
        <v>2005</v>
      </c>
      <c r="B13" s="6">
        <v>4670</v>
      </c>
      <c r="C13" s="6">
        <v>23</v>
      </c>
      <c r="D13" s="6">
        <v>14</v>
      </c>
      <c r="E13" s="6">
        <v>63</v>
      </c>
      <c r="F13" s="6">
        <f t="shared" si="0"/>
        <v>2942</v>
      </c>
      <c r="G13" s="6">
        <f t="shared" si="1"/>
        <v>1728</v>
      </c>
    </row>
    <row r="14" spans="1:7" x14ac:dyDescent="0.3">
      <c r="A14" s="6">
        <v>2006</v>
      </c>
      <c r="B14" s="6">
        <v>4498</v>
      </c>
      <c r="C14" s="6">
        <v>24</v>
      </c>
      <c r="D14" s="6">
        <v>11</v>
      </c>
      <c r="E14" s="6">
        <v>65</v>
      </c>
      <c r="F14" s="6">
        <f t="shared" si="0"/>
        <v>2924</v>
      </c>
      <c r="G14" s="6">
        <f t="shared" si="1"/>
        <v>1574</v>
      </c>
    </row>
    <row r="15" spans="1:7" x14ac:dyDescent="0.3">
      <c r="A15" s="6">
        <v>2007</v>
      </c>
      <c r="B15" s="6">
        <v>4898</v>
      </c>
      <c r="C15" s="6">
        <v>32</v>
      </c>
      <c r="D15" s="6">
        <v>12</v>
      </c>
      <c r="E15" s="6">
        <v>56</v>
      </c>
      <c r="F15" s="6">
        <f t="shared" si="0"/>
        <v>2743</v>
      </c>
      <c r="G15" s="6">
        <f t="shared" si="1"/>
        <v>2155</v>
      </c>
    </row>
    <row r="16" spans="1:7" x14ac:dyDescent="0.3">
      <c r="A16" s="6">
        <v>2008</v>
      </c>
      <c r="B16" s="6">
        <v>4773</v>
      </c>
      <c r="C16" s="6">
        <v>26</v>
      </c>
      <c r="D16" s="6">
        <v>16</v>
      </c>
      <c r="E16" s="6">
        <v>58</v>
      </c>
      <c r="F16" s="6">
        <f t="shared" si="0"/>
        <v>2768</v>
      </c>
      <c r="G16" s="6">
        <f t="shared" si="1"/>
        <v>2005</v>
      </c>
    </row>
    <row r="17" spans="1:7" x14ac:dyDescent="0.3">
      <c r="A17" s="6">
        <v>2011</v>
      </c>
      <c r="B17" s="6">
        <v>5741</v>
      </c>
      <c r="C17" s="6">
        <v>25</v>
      </c>
      <c r="D17" s="6">
        <v>8</v>
      </c>
      <c r="E17" s="6">
        <v>67</v>
      </c>
      <c r="F17" s="6">
        <f t="shared" si="0"/>
        <v>3846</v>
      </c>
      <c r="G17" s="6">
        <f t="shared" si="1"/>
        <v>1895</v>
      </c>
    </row>
    <row r="18" spans="1:7" x14ac:dyDescent="0.3">
      <c r="A18" s="6">
        <v>2012</v>
      </c>
      <c r="B18" s="6">
        <v>4801</v>
      </c>
      <c r="C18" s="6">
        <v>25</v>
      </c>
      <c r="D18" s="6">
        <v>9</v>
      </c>
      <c r="E18" s="6">
        <v>66</v>
      </c>
      <c r="F18" s="6">
        <f t="shared" si="0"/>
        <v>3169</v>
      </c>
      <c r="G18" s="6">
        <f t="shared" si="1"/>
        <v>1632</v>
      </c>
    </row>
    <row r="19" spans="1:7" x14ac:dyDescent="0.3">
      <c r="A19" s="6">
        <v>2013</v>
      </c>
      <c r="B19" s="6">
        <v>5669</v>
      </c>
      <c r="C19" s="6">
        <v>27</v>
      </c>
      <c r="D19" s="6">
        <v>9</v>
      </c>
      <c r="E19" s="6">
        <v>64</v>
      </c>
      <c r="F19" s="6">
        <f t="shared" si="0"/>
        <v>3628</v>
      </c>
      <c r="G19" s="6">
        <f t="shared" si="1"/>
        <v>2041</v>
      </c>
    </row>
    <row r="20" spans="1:7" x14ac:dyDescent="0.3">
      <c r="A20" s="6">
        <v>2014</v>
      </c>
      <c r="B20" s="6">
        <v>5781</v>
      </c>
      <c r="C20" s="6">
        <v>22</v>
      </c>
      <c r="D20" s="6">
        <v>9</v>
      </c>
      <c r="E20" s="6">
        <v>69</v>
      </c>
      <c r="F20" s="6">
        <f t="shared" si="0"/>
        <v>3989</v>
      </c>
      <c r="G20" s="6">
        <f t="shared" si="1"/>
        <v>1792</v>
      </c>
    </row>
    <row r="21" spans="1:7" x14ac:dyDescent="0.3">
      <c r="A21" s="6">
        <v>2015</v>
      </c>
      <c r="B21" s="6">
        <v>6500</v>
      </c>
      <c r="C21" s="6">
        <v>23</v>
      </c>
      <c r="D21" s="6">
        <v>11</v>
      </c>
      <c r="E21" s="6">
        <v>66</v>
      </c>
      <c r="F21" s="6">
        <f t="shared" si="0"/>
        <v>4290</v>
      </c>
      <c r="G21" s="6">
        <f t="shared" si="1"/>
        <v>2210</v>
      </c>
    </row>
    <row r="22" spans="1:7" x14ac:dyDescent="0.3">
      <c r="A22" s="6">
        <v>2016</v>
      </c>
      <c r="B22" s="6">
        <v>6220</v>
      </c>
      <c r="C22" s="6">
        <v>35</v>
      </c>
      <c r="D22" s="6">
        <v>10</v>
      </c>
      <c r="E22" s="6">
        <v>55</v>
      </c>
      <c r="F22" s="6">
        <f t="shared" si="0"/>
        <v>3421</v>
      </c>
      <c r="G22" s="6">
        <f t="shared" si="1"/>
        <v>2799</v>
      </c>
    </row>
    <row r="23" spans="1:7" x14ac:dyDescent="0.3">
      <c r="A23" s="6">
        <v>2017</v>
      </c>
      <c r="B23" s="6">
        <v>6450</v>
      </c>
      <c r="C23" s="6">
        <v>33</v>
      </c>
      <c r="D23" s="6">
        <v>8</v>
      </c>
      <c r="E23" s="6">
        <v>59</v>
      </c>
      <c r="F23" s="6">
        <f t="shared" si="0"/>
        <v>3806</v>
      </c>
      <c r="G23" s="6">
        <f t="shared" si="1"/>
        <v>2644</v>
      </c>
    </row>
    <row r="24" spans="1:7" x14ac:dyDescent="0.3">
      <c r="A24" s="6">
        <v>2018</v>
      </c>
      <c r="B24" s="6">
        <v>7535</v>
      </c>
      <c r="C24" s="6">
        <v>52</v>
      </c>
      <c r="D24" s="6">
        <v>4</v>
      </c>
      <c r="E24" s="6">
        <v>44</v>
      </c>
      <c r="F24" s="6">
        <f t="shared" si="0"/>
        <v>3315</v>
      </c>
      <c r="G24" s="6">
        <f t="shared" si="1"/>
        <v>4220</v>
      </c>
    </row>
    <row r="26" spans="1:7" x14ac:dyDescent="0.3">
      <c r="A26" s="14" t="s">
        <v>138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1. Metodo</vt:lpstr>
      <vt:lpstr>2. Entradas</vt:lpstr>
      <vt:lpstr>3. Tasa</vt:lpstr>
      <vt:lpstr>4. Sensibilidad</vt:lpstr>
      <vt:lpstr>5. Carga pesada</vt:lpstr>
      <vt:lpstr>6. Serie del paso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ANGEL TAMAYO OSORIO</cp:lastModifiedBy>
  <dcterms:created xsi:type="dcterms:W3CDTF">2026-09-18T15:57:29Z</dcterms:created>
  <dcterms:modified xsi:type="dcterms:W3CDTF">2026-09-22T00:13:57Z</dcterms:modified>
</cp:coreProperties>
</file>