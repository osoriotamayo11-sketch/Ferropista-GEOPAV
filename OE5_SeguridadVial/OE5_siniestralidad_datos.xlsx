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uentes" sheetId="1" state="visible" r:id="rId3"/>
    <sheet name="Siniestros_ANSV" sheetId="2" state="visible" r:id="rId4"/>
    <sheet name="Aforos_Cocora" sheetId="3" state="visible" r:id="rId5"/>
    <sheet name="Tasa_exposicion" sheetId="4" state="visible" r:id="rId6"/>
    <sheet name="Sensibilidad"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<sst xmlns="http://schemas.openxmlformats.org/spreadsheetml/2006/main" count="205" uniqueCount="170">
  <si>
    <t xml:space="preserve">OE 5 · Diagnóstico de seguridad vial — Fuentes de datos</t>
  </si>
  <si>
    <t xml:space="preserve">Semillero de Investigación GMAE · Universidad de Ibagué · Semestre Paz y Región 2026B</t>
  </si>
  <si>
    <t xml:space="preserve">Fuente</t>
  </si>
  <si>
    <t xml:space="preserve">Entidad</t>
  </si>
  <si>
    <t xml:space="preserve">Qué aporta</t>
  </si>
  <si>
    <t xml:space="preserve">Periodo</t>
  </si>
  <si>
    <t xml:space="preserve">Marca</t>
  </si>
  <si>
    <t xml:space="preserve">Enlace / identificador</t>
  </si>
  <si>
    <t xml:space="preserve">Sectores Críticos de Siniestralidad Vial</t>
  </si>
  <si>
    <t xml:space="preserve">ANSV</t>
  </si>
  <si>
    <t xml:space="preserve">Fallecidos por punto de referencia (PR), con coordenadas, sobre el tramo Calarcá – Ibagué</t>
  </si>
  <si>
    <t xml:space="preserve">2015 – 2019</t>
  </si>
  <si>
    <t xml:space="preserve">F</t>
  </si>
  <si>
    <t xml:space="preserve">datos.gov.co · conjunto rs3u-8r4q</t>
  </si>
  <si>
    <t xml:space="preserve">Tráfico Vehicular ANI</t>
  </si>
  <si>
    <t xml:space="preserve">ANI</t>
  </si>
  <si>
    <t xml:space="preserve">Vehículos por peaje y categoría tarifaria, mensual. Peaje Cocora (Ibagué – Cajamarca, RN40-03, km 13+800)</t>
  </si>
  <si>
    <t xml:space="preserve">oct 2021 – may 2026</t>
  </si>
  <si>
    <t xml:space="preserve">datos.gov.co · conjunto 8yi9-t44c</t>
  </si>
  <si>
    <t xml:space="preserve">Túnel de La Línea</t>
  </si>
  <si>
    <t xml:space="preserve">INVÍAS</t>
  </si>
  <si>
    <t xml:space="preserve">Fecha de entrada en operación (4 sep 2020) y longitud (8,6 km)</t>
  </si>
  <si>
    <t xml:space="preserve">2020</t>
  </si>
  <si>
    <t xml:space="preserve">crucecordilleracentral.invias.gov.co</t>
  </si>
  <si>
    <t xml:space="preserve">Anuario Nacional de Siniestralidad Vial</t>
  </si>
  <si>
    <t xml:space="preserve">Cifras agregadas de víctimas por tipo de vía</t>
  </si>
  <si>
    <t xml:space="preserve">hasta 2023</t>
  </si>
  <si>
    <t xml:space="preserve">DA</t>
  </si>
  <si>
    <t xml:space="preserve">ansv.gov.co · observatorio</t>
  </si>
  <si>
    <t xml:space="preserve">Serie histórica de tránsito (TPD)</t>
  </si>
  <si>
    <t xml:space="preserve">Aforo del tramo anterior a 2020, necesario para la tasa por exposición</t>
  </si>
  <si>
    <t xml:space="preserve">1997 – 2022</t>
  </si>
  <si>
    <t xml:space="preserve">Publicación vigente por localizar: los enlaces indexados responden error 404</t>
  </si>
  <si>
    <t xml:space="preserve">Forensis</t>
  </si>
  <si>
    <t xml:space="preserve">Medicina Legal</t>
  </si>
  <si>
    <t xml:space="preserve">Fallecidos en siniestros de tránsito por municipio, posterior a 2019</t>
  </si>
  <si>
    <t xml:space="preserve">anual</t>
  </si>
  <si>
    <t xml:space="preserve">medicinalegal.gov.co</t>
  </si>
  <si>
    <t xml:space="preserve">Marcas: F = dato de la fuente · CP = cálculo propio · H = hipótesis del semillero · DA = dato abierto pendiente de consulta</t>
  </si>
  <si>
    <t xml:space="preserve">Sectores críticos de siniestralidad — corredor de análisis Ibagué – Armenia</t>
  </si>
  <si>
    <t xml:space="preserve">ANSV, conjunto rs3u-8r4q. Fallecidos acumulados 2015–2019. Marca F. Filtro geográfico: longitud entre −75,72 y −75,19; latitud entre 4,25 y 4,65.</t>
  </si>
  <si>
    <t xml:space="preserve">Departamento</t>
  </si>
  <si>
    <t xml:space="preserve">Municipio</t>
  </si>
  <si>
    <t xml:space="preserve">Entidad a cargo</t>
  </si>
  <si>
    <t xml:space="preserve">Tramo</t>
  </si>
  <si>
    <t xml:space="preserve">PR</t>
  </si>
  <si>
    <t xml:space="preserve">Fallecidos</t>
  </si>
  <si>
    <t xml:space="preserve">Latitud</t>
  </si>
  <si>
    <t xml:space="preserve">Longitud</t>
  </si>
  <si>
    <t xml:space="preserve">¿En el paso?</t>
  </si>
  <si>
    <t xml:space="preserve">QUINDÍO</t>
  </si>
  <si>
    <t xml:space="preserve">CALARCÁ</t>
  </si>
  <si>
    <t xml:space="preserve">INVIAS-OTROS</t>
  </si>
  <si>
    <t xml:space="preserve">Calarcá - Ibagué</t>
  </si>
  <si>
    <t xml:space="preserve">86</t>
  </si>
  <si>
    <t xml:space="preserve">Sí</t>
  </si>
  <si>
    <t xml:space="preserve">6</t>
  </si>
  <si>
    <t xml:space="preserve">10</t>
  </si>
  <si>
    <t xml:space="preserve">La Paila - Calarcá</t>
  </si>
  <si>
    <t xml:space="preserve">85</t>
  </si>
  <si>
    <t xml:space="preserve">No</t>
  </si>
  <si>
    <t xml:space="preserve">(sin dato)</t>
  </si>
  <si>
    <t xml:space="preserve">TOTAL</t>
  </si>
  <si>
    <t xml:space="preserve">En el paso</t>
  </si>
  <si>
    <t xml:space="preserve">HALLAZGO: los seis sectores críticos del corredor Ibagué – Armenia están en jurisdicción de Calarcá (Quindío). El conjunto no reporta ningún sector crítico del lado del Tolima. Caben dos lecturas y hay que decidir cuál: el descenso hacia Calarcá concentra la mortalidad, o la cobertura del costado tolimense es incompleta.</t>
  </si>
  <si>
    <t xml:space="preserve">Nota: el conjunto reporta ÚNICAMENTE fallecidos, no heridos ni siniestros con solo daños materiales, y es un producto derivado de análisis espacial de puntos calientes, no el microdato por siniestro.</t>
  </si>
  <si>
    <t xml:space="preserve">LIMITACIÓN CRÍTICA: el periodo 2015–2019 es anterior a la entrada en operación del Túnel de La Línea (4 sep 2020). La línea base describe un corredor que ya cambió.</t>
  </si>
  <si>
    <t xml:space="preserve">Aforo mensual — Peaje Cocora (Ibagué – Cajamarca, RN40-03, km 13+800)</t>
  </si>
  <si>
    <t xml:space="preserve">ANI, conjunto 8yi9-t44c. Marca F. Livianos = cat. I, IE · Buses y camión de 2 ejes = cat. II, IIE · Carga pesada = cat. III, IV, V, IIIE.</t>
  </si>
  <si>
    <t xml:space="preserve">Mes</t>
  </si>
  <si>
    <t xml:space="preserve">Días</t>
  </si>
  <si>
    <t xml:space="preserve">Total</t>
  </si>
  <si>
    <t xml:space="preserve">Livianos</t>
  </si>
  <si>
    <t xml:space="preserve">Buses / 2 ejes</t>
  </si>
  <si>
    <t xml:space="preserve">Carga pesada</t>
  </si>
  <si>
    <t xml:space="preserve">Otros</t>
  </si>
  <si>
    <t xml:space="preserve">TPD total</t>
  </si>
  <si>
    <t xml:space="preserve">TPD pesados</t>
  </si>
  <si>
    <t xml:space="preserve">% pesados</t>
  </si>
  <si>
    <t xml:space="preserve">2021-10</t>
  </si>
  <si>
    <t xml:space="preserve">2021-11</t>
  </si>
  <si>
    <t xml:space="preserve">2021-12</t>
  </si>
  <si>
    <t xml:space="preserve">2022-01</t>
  </si>
  <si>
    <t xml:space="preserve">2022-02</t>
  </si>
  <si>
    <t xml:space="preserve">2022-03</t>
  </si>
  <si>
    <t xml:space="preserve">2022-04</t>
  </si>
  <si>
    <t xml:space="preserve">2022-05</t>
  </si>
  <si>
    <t xml:space="preserve">2022-06</t>
  </si>
  <si>
    <t xml:space="preserve">2022-07</t>
  </si>
  <si>
    <t xml:space="preserve">2022-08</t>
  </si>
  <si>
    <t xml:space="preserve">2022-09</t>
  </si>
  <si>
    <t xml:space="preserve">2022-10</t>
  </si>
  <si>
    <t xml:space="preserve">2022-11</t>
  </si>
  <si>
    <t xml:space="preserve">2022-12</t>
  </si>
  <si>
    <t xml:space="preserve">2023-01</t>
  </si>
  <si>
    <t xml:space="preserve">2023-02</t>
  </si>
  <si>
    <t xml:space="preserve">2023-03</t>
  </si>
  <si>
    <t xml:space="preserve">2023-04</t>
  </si>
  <si>
    <t xml:space="preserve">2023-05</t>
  </si>
  <si>
    <t xml:space="preserve">2023-06</t>
  </si>
  <si>
    <t xml:space="preserve">2023-07</t>
  </si>
  <si>
    <t xml:space="preserve">2023-08</t>
  </si>
  <si>
    <t xml:space="preserve">2023-09</t>
  </si>
  <si>
    <t xml:space="preserve">2023-10</t>
  </si>
  <si>
    <t xml:space="preserve">2023-11</t>
  </si>
  <si>
    <t xml:space="preserve">2023-12</t>
  </si>
  <si>
    <t xml:space="preserve">2024-01</t>
  </si>
  <si>
    <t xml:space="preserve">2024-02</t>
  </si>
  <si>
    <t xml:space="preserve">2024-03</t>
  </si>
  <si>
    <t xml:space="preserve">2024-04</t>
  </si>
  <si>
    <t xml:space="preserve">2024-05</t>
  </si>
  <si>
    <t xml:space="preserve">2024-06</t>
  </si>
  <si>
    <t xml:space="preserve">2024-07</t>
  </si>
  <si>
    <t xml:space="preserve">2024-08</t>
  </si>
  <si>
    <t xml:space="preserve">2024-09</t>
  </si>
  <si>
    <t xml:space="preserve">2024-10</t>
  </si>
  <si>
    <t xml:space="preserve">2024-11</t>
  </si>
  <si>
    <t xml:space="preserve">2024-12</t>
  </si>
  <si>
    <t xml:space="preserve">2025-01</t>
  </si>
  <si>
    <t xml:space="preserve">2025-02</t>
  </si>
  <si>
    <t xml:space="preserve">2025-03</t>
  </si>
  <si>
    <t xml:space="preserve">2025-04</t>
  </si>
  <si>
    <t xml:space="preserve">2025-05</t>
  </si>
  <si>
    <t xml:space="preserve">2025-06</t>
  </si>
  <si>
    <t xml:space="preserve">2025-07</t>
  </si>
  <si>
    <t xml:space="preserve">2025-08</t>
  </si>
  <si>
    <t xml:space="preserve">2025-09</t>
  </si>
  <si>
    <t xml:space="preserve">2025-10</t>
  </si>
  <si>
    <t xml:space="preserve">2025-11</t>
  </si>
  <si>
    <t xml:space="preserve">2025-12</t>
  </si>
  <si>
    <t xml:space="preserve">2026-01</t>
  </si>
  <si>
    <t xml:space="preserve">2026-02</t>
  </si>
  <si>
    <t xml:space="preserve">2026-03</t>
  </si>
  <si>
    <t xml:space="preserve">2026-04</t>
  </si>
  <si>
    <t xml:space="preserve">2026-05</t>
  </si>
  <si>
    <t xml:space="preserve">Últimos 12 meses completos</t>
  </si>
  <si>
    <t xml:space="preserve">Los valores en azul son dato de la fuente; las columnas TPD y % son cálculo propio [CP] y se recalculan solas.</t>
  </si>
  <si>
    <t xml:space="preserve">El peaje Cocora está sobre el corredor Ibagué – Cajamarca, aguas arriba del ascenso al Alto de La Línea; mide la exposición que entra al paso por el costado del Tolima.</t>
  </si>
  <si>
    <t xml:space="preserve">Tasa de siniestralidad normalizada por exposición</t>
  </si>
  <si>
    <t xml:space="preserve">Contar fallecidos sin dividir por la exposición no permite comparar tramos. La unidad estándar es fallecidos por cada 100 millones de vehículos-kilómetro.</t>
  </si>
  <si>
    <t xml:space="preserve">ENTRADAS</t>
  </si>
  <si>
    <t xml:space="preserve">Fallecidos en el tramo del paso (ANSV 2015–2019)</t>
  </si>
  <si>
    <t xml:space="preserve">Años cubiertos por el registro de fallecidos</t>
  </si>
  <si>
    <t xml:space="preserve">Longitud del tramo de análisis (km)</t>
  </si>
  <si>
    <t xml:space="preserve">H</t>
  </si>
  <si>
    <t xml:space="preserve">TPD del tramo en el periodo 2015–2019 (veh/día)</t>
  </si>
  <si>
    <t xml:space="preserve">TPD actual verificado (jun 2025 – may 2026)</t>
  </si>
  <si>
    <t xml:space="preserve">TPD de carga pesada actual</t>
  </si>
  <si>
    <t xml:space="preserve">RESULTADOS</t>
  </si>
  <si>
    <t xml:space="preserve">Vehículos-km por año, periodo 2015–2019</t>
  </si>
  <si>
    <t xml:space="preserve">Exposición histórica bajo la hipótesis de TPD.</t>
  </si>
  <si>
    <t xml:space="preserve">Vehículos-km acumulados en el periodo</t>
  </si>
  <si>
    <t xml:space="preserve">Denominador de la tasa.</t>
  </si>
  <si>
    <t xml:space="preserve">Tasa: fallecidos / 100 millones veh-km</t>
  </si>
  <si>
    <t xml:space="preserve">RESULTADO PRINCIPAL. Depende de dos hipótesis (longitud y TPD histórico): ver hoja Sensibilidad.</t>
  </si>
  <si>
    <t xml:space="preserve">Vehículos-km por año, exposición actual</t>
  </si>
  <si>
    <t xml:space="preserve">Con el TPD medido hoy en el peaje Cocora.</t>
  </si>
  <si>
    <t xml:space="preserve">Vehículos-km por año de carga pesada</t>
  </si>
  <si>
    <t xml:space="preserve">Exposición del grupo que la Ferropista captaría.</t>
  </si>
  <si>
    <t xml:space="preserve">Participación de la carga pesada</t>
  </si>
  <si>
    <t xml:space="preserve">Medida, no supuesta.</t>
  </si>
  <si>
    <t xml:space="preserve">Exposición pesada evitada con captación del 90 %</t>
  </si>
  <si>
    <t xml:space="preserve">El 90 % es cifra de la ponencia (dia. 10), marca F.</t>
  </si>
  <si>
    <t xml:space="preserve">ADVERTENCIA METODOLÓGICA</t>
  </si>
  <si>
    <t xml:space="preserve">Los fallecidos son de 2015–2019 y el aforo verificado es de 2021–2026: NO SON DIVISIBLES ENTRE SÍ. El Túnel de La Línea entró en operación el 4 de septiembre de 2020 y cambió el corredor. La celda B8 es una hipótesis del semillero y debe sustituirse por el aforo real del periodo 2015–2019 cuando se localice la serie histórica de INVÍAS. Mientras eso no ocurra, la tasa de la celda B15 es un ejercicio de orden de magnitud, no un resultado publicable.</t>
  </si>
  <si>
    <t xml:space="preserve">Sensibilidad de la tasa a las dos hipótesis</t>
  </si>
  <si>
    <t xml:space="preserve">Fallecidos por 100 millones de vehículos-kilómetro, para distintas longitudes de tramo y aforos históricos. Todo cálculo propio [CP] sobre la cifra F de fallecidos.</t>
  </si>
  <si>
    <t xml:space="preserve">TPD \ Longitud (km)</t>
  </si>
  <si>
    <t xml:space="preserve">Lectura: la tasa varía por un factor de cinco entre las esquinas de la tabla. Publicar un solo valor sin declarar las dos hipótesis sería engañoso.</t>
  </si>
  <si>
    <t xml:space="preserve">El objetivo del semestre no es escoger una celda, sino cerrar las dos hipótesis con datos: la longitud se mide en QGIS sobre la capa vial y el TPD histórico sale de la serie de INVÍAS.</t>
  </si>
</sst>
</file>

<file path=xl/styles.xml><?xml version="1.0" encoding="utf-8"?>
<styleSheet xmlns="http://schemas.openxmlformats.org/spreadsheetml/2006/main">
  <numFmts count="9">
    <numFmt numFmtId="164" formatCode="General"/>
    <numFmt numFmtId="165" formatCode="0.000000"/>
    <numFmt numFmtId="166" formatCode="General"/>
    <numFmt numFmtId="167" formatCode="#,##0"/>
    <numFmt numFmtId="168" formatCode="0.0%"/>
    <numFmt numFmtId="169" formatCode="0"/>
    <numFmt numFmtId="170" formatCode="00"/>
    <numFmt numFmtId="171" formatCode="#.##0"/>
    <numFmt numFmtId="172" formatCode="0.0"/>
  </numFmts>
  <fonts count="15">
    <font>
      <sz val="11"/>
      <color theme="1"/>
      <name val="Calibri"/>
      <family val="2"/>
      <charset val="1"/>
    </font>
    <font>
      <sz val="10"/>
      <name val="Arial"/>
      <family val="0"/>
    </font>
    <font>
      <sz val="10"/>
      <name val="Arial"/>
      <family val="0"/>
    </font>
    <font>
      <sz val="10"/>
      <name val="Arial"/>
      <family val="0"/>
    </font>
    <font>
      <b val="true"/>
      <sz val="13"/>
      <color rgb="FF193F77"/>
      <name val="Arial"/>
      <family val="0"/>
      <charset val="1"/>
    </font>
    <font>
      <i val="true"/>
      <sz val="9"/>
      <color rgb="FF5B6B80"/>
      <name val="Arial"/>
      <family val="0"/>
      <charset val="1"/>
    </font>
    <font>
      <b val="true"/>
      <sz val="10"/>
      <color rgb="FFFFFFFF"/>
      <name val="Arial"/>
      <family val="0"/>
      <charset val="1"/>
    </font>
    <font>
      <sz val="10"/>
      <name val="Arial"/>
      <family val="0"/>
      <charset val="1"/>
    </font>
    <font>
      <b val="true"/>
      <sz val="10"/>
      <name val="Arial"/>
      <family val="0"/>
      <charset val="1"/>
    </font>
    <font>
      <b val="true"/>
      <sz val="10"/>
      <color rgb="FF0F7B55"/>
      <name val="Arial"/>
      <family val="0"/>
      <charset val="1"/>
    </font>
    <font>
      <b val="true"/>
      <i val="true"/>
      <sz val="9"/>
      <color rgb="FFB3261E"/>
      <name val="Arial"/>
      <family val="0"/>
      <charset val="1"/>
    </font>
    <font>
      <sz val="10"/>
      <color rgb="FF0000FF"/>
      <name val="Arial"/>
      <family val="0"/>
      <charset val="1"/>
    </font>
    <font>
      <b val="true"/>
      <sz val="11"/>
      <color rgb="FF0F7B55"/>
      <name val="Arial"/>
      <family val="0"/>
      <charset val="1"/>
    </font>
    <font>
      <b val="true"/>
      <sz val="11"/>
      <color rgb="FFB3261E"/>
      <name val="Arial"/>
      <family val="0"/>
      <charset val="1"/>
    </font>
    <font>
      <i val="true"/>
      <sz val="9"/>
      <color rgb="FFB3261E"/>
      <name val="Arial"/>
      <family val="0"/>
      <charset val="1"/>
    </font>
  </fonts>
  <fills count="5">
    <fill>
      <patternFill patternType="none"/>
    </fill>
    <fill>
      <patternFill patternType="gray125"/>
    </fill>
    <fill>
      <patternFill patternType="solid">
        <fgColor rgb="FF193F77"/>
        <bgColor rgb="FF333399"/>
      </patternFill>
    </fill>
    <fill>
      <patternFill patternType="solid">
        <fgColor rgb="FFF1F4F8"/>
        <bgColor rgb="FFFFFFFF"/>
      </patternFill>
    </fill>
    <fill>
      <patternFill patternType="solid">
        <fgColor rgb="FFFFF2CC"/>
        <bgColor rgb="FFF1F4F8"/>
      </patternFill>
    </fill>
  </fills>
  <borders count="2">
    <border diagonalUp="false" diagonalDown="false">
      <left/>
      <right/>
      <top/>
      <bottom/>
      <diagonal/>
    </border>
    <border diagonalUp="false" diagonalDown="false">
      <left/>
      <right/>
      <top/>
      <bottom style="thin">
        <color rgb="FFD9E0E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2" borderId="0" xfId="0" applyFont="true" applyBorder="false" applyAlignment="true" applyProtection="true">
      <alignment horizontal="center" vertical="center" textRotation="0" wrapText="true" indent="0" shrinkToFit="false"/>
      <protection locked="true" hidden="false"/>
    </xf>
    <xf numFmtId="164" fontId="7" fillId="0" borderId="1" xfId="0" applyFont="true" applyBorder="true" applyAlignment="true" applyProtection="true">
      <alignment horizontal="general" vertical="top" textRotation="0" wrapText="true" indent="0" shrinkToFit="false"/>
      <protection locked="true" hidden="false"/>
    </xf>
    <xf numFmtId="164" fontId="8" fillId="0" borderId="1" xfId="0" applyFont="true" applyBorder="true" applyAlignment="true" applyProtection="true">
      <alignment horizontal="center" vertical="top" textRotation="0" wrapText="false" indent="0" shrinkToFit="false"/>
      <protection locked="true" hidden="false"/>
    </xf>
    <xf numFmtId="164" fontId="7" fillId="0" borderId="1" xfId="0" applyFont="true" applyBorder="true" applyAlignment="true" applyProtection="true">
      <alignment horizontal="general" vertical="bottom" textRotation="0" wrapText="false" indent="0" shrinkToFit="false"/>
      <protection locked="true" hidden="false"/>
    </xf>
    <xf numFmtId="164" fontId="7" fillId="0" borderId="1" xfId="0" applyFont="true" applyBorder="true" applyAlignment="true" applyProtection="true">
      <alignment horizontal="center" vertical="bottom" textRotation="0" wrapText="false" indent="0" shrinkToFit="false"/>
      <protection locked="true" hidden="false"/>
    </xf>
    <xf numFmtId="165" fontId="7" fillId="0" borderId="1" xfId="0" applyFont="true" applyBorder="true" applyAlignment="true" applyProtection="true">
      <alignment horizontal="general" vertical="bottom" textRotation="0" wrapText="false" indent="0" shrinkToFit="false"/>
      <protection locked="true" hidden="false"/>
    </xf>
    <xf numFmtId="164" fontId="9" fillId="0" borderId="1" xfId="0" applyFont="true" applyBorder="true" applyAlignment="true" applyProtection="true">
      <alignment horizontal="center"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6" fontId="8" fillId="3" borderId="0" xfId="0" applyFont="true" applyBorder="false" applyAlignment="true" applyProtection="true">
      <alignment horizontal="general" vertical="bottom" textRotation="0" wrapText="false" indent="0" shrinkToFit="false"/>
      <protection locked="true" hidden="false"/>
    </xf>
    <xf numFmtId="166" fontId="9" fillId="3"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7" fontId="11" fillId="0" borderId="1" xfId="0" applyFont="true" applyBorder="true" applyAlignment="true" applyProtection="true">
      <alignment horizontal="general" vertical="bottom" textRotation="0" wrapText="false" indent="0" shrinkToFit="false"/>
      <protection locked="true" hidden="false"/>
    </xf>
    <xf numFmtId="167" fontId="7" fillId="0" borderId="1" xfId="0" applyFont="true" applyBorder="true" applyAlignment="true" applyProtection="true">
      <alignment horizontal="general" vertical="bottom" textRotation="0" wrapText="false" indent="0" shrinkToFit="false"/>
      <protection locked="true" hidden="false"/>
    </xf>
    <xf numFmtId="168" fontId="7" fillId="0" borderId="1" xfId="0" applyFont="true" applyBorder="true" applyAlignment="true" applyProtection="true">
      <alignment horizontal="general" vertical="bottom" textRotation="0" wrapText="false" indent="0" shrinkToFit="false"/>
      <protection locked="true" hidden="false"/>
    </xf>
    <xf numFmtId="167" fontId="8" fillId="3" borderId="0" xfId="0" applyFont="true" applyBorder="false" applyAlignment="true" applyProtection="true">
      <alignment horizontal="general" vertical="bottom" textRotation="0" wrapText="false" indent="0" shrinkToFit="false"/>
      <protection locked="true" hidden="false"/>
    </xf>
    <xf numFmtId="168" fontId="8" fillId="3"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center" vertical="bottom" textRotation="0" wrapText="false" indent="0" shrinkToFit="false"/>
      <protection locked="true" hidden="false"/>
    </xf>
    <xf numFmtId="169" fontId="11" fillId="4" borderId="0" xfId="0" applyFont="true" applyBorder="false" applyAlignment="true" applyProtection="true">
      <alignment horizontal="general" vertical="bottom" textRotation="0" wrapText="false" indent="0" shrinkToFit="false"/>
      <protection locked="true" hidden="false"/>
    </xf>
    <xf numFmtId="170" fontId="11" fillId="4" borderId="0" xfId="0" applyFont="true" applyBorder="false" applyAlignment="true" applyProtection="true">
      <alignment horizontal="general" vertical="bottom" textRotation="0" wrapText="false" indent="0" shrinkToFit="false"/>
      <protection locked="true" hidden="false"/>
    </xf>
    <xf numFmtId="167" fontId="11" fillId="4" borderId="0" xfId="0" applyFont="true" applyBorder="false" applyAlignment="true" applyProtection="true">
      <alignment horizontal="general" vertical="bottom" textRotation="0" wrapText="false" indent="0" shrinkToFit="false"/>
      <protection locked="true" hidden="false"/>
    </xf>
    <xf numFmtId="167" fontId="7" fillId="0" borderId="0" xfId="0" applyFont="true" applyBorder="false" applyAlignment="true" applyProtection="true">
      <alignment horizontal="general" vertical="bottom" textRotation="0" wrapText="false" indent="0" shrinkToFit="false"/>
      <protection locked="true" hidden="false"/>
    </xf>
    <xf numFmtId="171" fontId="8"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top" textRotation="0" wrapText="true" indent="0" shrinkToFit="false"/>
      <protection locked="true" hidden="false"/>
    </xf>
    <xf numFmtId="172" fontId="8" fillId="3" borderId="0" xfId="0" applyFont="true" applyBorder="false" applyAlignment="true" applyProtection="true">
      <alignment horizontal="general" vertical="bottom" textRotation="0" wrapText="false" indent="0" shrinkToFit="false"/>
      <protection locked="true" hidden="false"/>
    </xf>
    <xf numFmtId="168" fontId="8" fillId="0"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14" fillId="0" borderId="0" xfId="0" applyFont="true" applyBorder="true" applyAlignment="true" applyProtection="true">
      <alignment horizontal="general" vertical="top" textRotation="0" wrapText="true" indent="0" shrinkToFit="false"/>
      <protection locked="true" hidden="false"/>
    </xf>
    <xf numFmtId="164" fontId="6" fillId="2" borderId="0" xfId="0" applyFont="true" applyBorder="false" applyAlignment="true" applyProtection="true">
      <alignment horizontal="general" vertical="bottom" textRotation="0" wrapText="false" indent="0" shrinkToFit="false"/>
      <protection locked="true" hidden="false"/>
    </xf>
    <xf numFmtId="164" fontId="6" fillId="2" borderId="0" xfId="0" applyFont="true" applyBorder="false" applyAlignment="true" applyProtection="true">
      <alignment horizontal="center" vertical="bottom" textRotation="0" wrapText="false" indent="0" shrinkToFit="false"/>
      <protection locked="true" hidden="false"/>
    </xf>
    <xf numFmtId="172" fontId="7" fillId="0" borderId="0" xfId="0" applyFont="true" applyBorder="false" applyAlignment="true" applyProtection="tru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F7B55"/>
      <rgbColor rgb="FFC0C0C0"/>
      <rgbColor rgb="FF808080"/>
      <rgbColor rgb="FF9999FF"/>
      <rgbColor rgb="FF993366"/>
      <rgbColor rgb="FFFFF2CC"/>
      <rgbColor rgb="FFF1F4F8"/>
      <rgbColor rgb="FF660066"/>
      <rgbColor rgb="FFFF8080"/>
      <rgbColor rgb="FF0066CC"/>
      <rgbColor rgb="FFD9E0EA"/>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B6B80"/>
      <rgbColor rgb="FF969696"/>
      <rgbColor rgb="FF193F77"/>
      <rgbColor rgb="FF339966"/>
      <rgbColor rgb="FF003300"/>
      <rgbColor rgb="FF333300"/>
      <rgbColor rgb="FFB3261E"/>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6"/>
    <col collapsed="false" customWidth="true" hidden="false" outlineLevel="0" max="3" min="3" style="1" width="44"/>
    <col collapsed="false" customWidth="true" hidden="false" outlineLevel="0" max="4" min="4" style="1" width="18"/>
    <col collapsed="false" customWidth="true" hidden="false" outlineLevel="0" max="5" min="5" style="1" width="9"/>
    <col collapsed="false" customWidth="true" hidden="false" outlineLevel="0" max="6" min="6" style="1" width="52"/>
  </cols>
  <sheetData>
    <row r="1" customFormat="false" ht="16.15" hidden="false" customHeight="false" outlineLevel="0" collapsed="false">
      <c r="A1" s="2" t="s">
        <v>0</v>
      </c>
    </row>
    <row r="2" customFormat="false" ht="15" hidden="false" customHeight="false" outlineLevel="0" collapsed="false">
      <c r="A2" s="3" t="s">
        <v>1</v>
      </c>
    </row>
    <row r="4" customFormat="false" ht="30" hidden="false" customHeight="true" outlineLevel="0" collapsed="false">
      <c r="A4" s="4" t="s">
        <v>2</v>
      </c>
      <c r="B4" s="4" t="s">
        <v>3</v>
      </c>
      <c r="C4" s="4" t="s">
        <v>4</v>
      </c>
      <c r="D4" s="4" t="s">
        <v>5</v>
      </c>
      <c r="E4" s="4" t="s">
        <v>6</v>
      </c>
      <c r="F4" s="4" t="s">
        <v>7</v>
      </c>
    </row>
    <row r="5" customFormat="false" ht="43.5" hidden="false" customHeight="true" outlineLevel="0" collapsed="false">
      <c r="A5" s="5" t="s">
        <v>8</v>
      </c>
      <c r="B5" s="5" t="s">
        <v>9</v>
      </c>
      <c r="C5" s="5" t="s">
        <v>10</v>
      </c>
      <c r="D5" s="5" t="s">
        <v>11</v>
      </c>
      <c r="E5" s="6" t="s">
        <v>12</v>
      </c>
      <c r="F5" s="5" t="s">
        <v>13</v>
      </c>
    </row>
    <row r="6" customFormat="false" ht="43.5" hidden="false" customHeight="true" outlineLevel="0" collapsed="false">
      <c r="A6" s="5" t="s">
        <v>14</v>
      </c>
      <c r="B6" s="5" t="s">
        <v>15</v>
      </c>
      <c r="C6" s="5" t="s">
        <v>16</v>
      </c>
      <c r="D6" s="5" t="s">
        <v>17</v>
      </c>
      <c r="E6" s="6" t="s">
        <v>12</v>
      </c>
      <c r="F6" s="5" t="s">
        <v>18</v>
      </c>
    </row>
    <row r="7" customFormat="false" ht="43.5" hidden="false" customHeight="true" outlineLevel="0" collapsed="false">
      <c r="A7" s="5" t="s">
        <v>19</v>
      </c>
      <c r="B7" s="5" t="s">
        <v>20</v>
      </c>
      <c r="C7" s="5" t="s">
        <v>21</v>
      </c>
      <c r="D7" s="5" t="s">
        <v>22</v>
      </c>
      <c r="E7" s="6" t="s">
        <v>12</v>
      </c>
      <c r="F7" s="5" t="s">
        <v>23</v>
      </c>
    </row>
    <row r="8" customFormat="false" ht="43.5" hidden="false" customHeight="true" outlineLevel="0" collapsed="false">
      <c r="A8" s="5" t="s">
        <v>24</v>
      </c>
      <c r="B8" s="5" t="s">
        <v>9</v>
      </c>
      <c r="C8" s="5" t="s">
        <v>25</v>
      </c>
      <c r="D8" s="5" t="s">
        <v>26</v>
      </c>
      <c r="E8" s="6" t="s">
        <v>27</v>
      </c>
      <c r="F8" s="5" t="s">
        <v>28</v>
      </c>
    </row>
    <row r="9" customFormat="false" ht="43.5" hidden="false" customHeight="true" outlineLevel="0" collapsed="false">
      <c r="A9" s="5" t="s">
        <v>29</v>
      </c>
      <c r="B9" s="5" t="s">
        <v>20</v>
      </c>
      <c r="C9" s="5" t="s">
        <v>30</v>
      </c>
      <c r="D9" s="5" t="s">
        <v>31</v>
      </c>
      <c r="E9" s="6" t="s">
        <v>27</v>
      </c>
      <c r="F9" s="5" t="s">
        <v>32</v>
      </c>
    </row>
    <row r="10" customFormat="false" ht="43.5" hidden="false" customHeight="true" outlineLevel="0" collapsed="false">
      <c r="A10" s="5" t="s">
        <v>33</v>
      </c>
      <c r="B10" s="5" t="s">
        <v>34</v>
      </c>
      <c r="C10" s="5" t="s">
        <v>35</v>
      </c>
      <c r="D10" s="5" t="s">
        <v>36</v>
      </c>
      <c r="E10" s="6" t="s">
        <v>27</v>
      </c>
      <c r="F10" s="5" t="s">
        <v>37</v>
      </c>
    </row>
    <row r="12" customFormat="false" ht="15" hidden="false" customHeight="false" outlineLevel="0" collapsed="false">
      <c r="A12" s="3" t="s">
        <v>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12"/>
    <col collapsed="false" customWidth="true" hidden="false" outlineLevel="0" max="3" min="3" style="1" width="14"/>
    <col collapsed="false" customWidth="true" hidden="false" outlineLevel="0" max="4" min="4" style="1" width="24"/>
    <col collapsed="false" customWidth="true" hidden="false" outlineLevel="0" max="5" min="5" style="1" width="7"/>
    <col collapsed="false" customWidth="true" hidden="false" outlineLevel="0" max="8" min="6" style="1" width="11"/>
    <col collapsed="false" customWidth="true" hidden="false" outlineLevel="0" max="9" min="9" style="1" width="13"/>
  </cols>
  <sheetData>
    <row r="1" customFormat="false" ht="16.15" hidden="false" customHeight="false" outlineLevel="0" collapsed="false">
      <c r="A1" s="2" t="s">
        <v>39</v>
      </c>
    </row>
    <row r="2" customFormat="false" ht="15" hidden="false" customHeight="false" outlineLevel="0" collapsed="false">
      <c r="A2" s="3" t="s">
        <v>40</v>
      </c>
    </row>
    <row r="4" customFormat="false" ht="30" hidden="false" customHeight="true" outlineLevel="0" collapsed="false">
      <c r="A4" s="4" t="s">
        <v>41</v>
      </c>
      <c r="B4" s="4" t="s">
        <v>42</v>
      </c>
      <c r="C4" s="4" t="s">
        <v>43</v>
      </c>
      <c r="D4" s="4" t="s">
        <v>44</v>
      </c>
      <c r="E4" s="4" t="s">
        <v>45</v>
      </c>
      <c r="F4" s="4" t="s">
        <v>46</v>
      </c>
      <c r="G4" s="4" t="s">
        <v>47</v>
      </c>
      <c r="H4" s="4" t="s">
        <v>48</v>
      </c>
      <c r="I4" s="4" t="s">
        <v>49</v>
      </c>
    </row>
    <row r="5" customFormat="false" ht="15" hidden="false" customHeight="false" outlineLevel="0" collapsed="false">
      <c r="A5" s="7" t="s">
        <v>50</v>
      </c>
      <c r="B5" s="7" t="s">
        <v>51</v>
      </c>
      <c r="C5" s="7" t="s">
        <v>52</v>
      </c>
      <c r="D5" s="7" t="s">
        <v>53</v>
      </c>
      <c r="E5" s="8" t="s">
        <v>54</v>
      </c>
      <c r="F5" s="8" t="n">
        <v>21</v>
      </c>
      <c r="G5" s="9" t="n">
        <v>4.529347</v>
      </c>
      <c r="H5" s="9" t="n">
        <v>-75.632733</v>
      </c>
      <c r="I5" s="10" t="s">
        <v>55</v>
      </c>
    </row>
    <row r="6" customFormat="false" ht="15" hidden="false" customHeight="false" outlineLevel="0" collapsed="false">
      <c r="A6" s="7" t="s">
        <v>50</v>
      </c>
      <c r="B6" s="7" t="s">
        <v>51</v>
      </c>
      <c r="C6" s="7" t="s">
        <v>52</v>
      </c>
      <c r="D6" s="7" t="s">
        <v>53</v>
      </c>
      <c r="E6" s="8" t="s">
        <v>56</v>
      </c>
      <c r="F6" s="8" t="n">
        <v>11</v>
      </c>
      <c r="G6" s="9" t="n">
        <v>4.525523</v>
      </c>
      <c r="H6" s="9" t="n">
        <v>-75.620722</v>
      </c>
      <c r="I6" s="10" t="s">
        <v>55</v>
      </c>
    </row>
    <row r="7" customFormat="false" ht="15" hidden="false" customHeight="false" outlineLevel="0" collapsed="false">
      <c r="A7" s="7" t="s">
        <v>50</v>
      </c>
      <c r="B7" s="7" t="s">
        <v>51</v>
      </c>
      <c r="C7" s="7" t="s">
        <v>52</v>
      </c>
      <c r="D7" s="7" t="s">
        <v>53</v>
      </c>
      <c r="E7" s="8" t="s">
        <v>57</v>
      </c>
      <c r="F7" s="8" t="n">
        <v>9</v>
      </c>
      <c r="G7" s="9" t="n">
        <v>4.527243</v>
      </c>
      <c r="H7" s="9" t="n">
        <v>-75.60247</v>
      </c>
      <c r="I7" s="10" t="s">
        <v>55</v>
      </c>
    </row>
    <row r="8" customFormat="false" ht="15" hidden="false" customHeight="false" outlineLevel="0" collapsed="false">
      <c r="A8" s="7" t="s">
        <v>50</v>
      </c>
      <c r="B8" s="7" t="s">
        <v>51</v>
      </c>
      <c r="C8" s="7" t="s">
        <v>15</v>
      </c>
      <c r="D8" s="7" t="s">
        <v>58</v>
      </c>
      <c r="E8" s="8" t="s">
        <v>59</v>
      </c>
      <c r="F8" s="8" t="n">
        <v>9</v>
      </c>
      <c r="G8" s="9" t="n">
        <v>4.528841</v>
      </c>
      <c r="H8" s="9" t="n">
        <v>-75.634918</v>
      </c>
      <c r="I8" s="8" t="s">
        <v>60</v>
      </c>
    </row>
    <row r="9" customFormat="false" ht="15" hidden="false" customHeight="false" outlineLevel="0" collapsed="false">
      <c r="A9" s="7" t="s">
        <v>50</v>
      </c>
      <c r="B9" s="7" t="s">
        <v>51</v>
      </c>
      <c r="C9" s="7" t="s">
        <v>15</v>
      </c>
      <c r="D9" s="7" t="s">
        <v>61</v>
      </c>
      <c r="E9" s="8" t="s">
        <v>59</v>
      </c>
      <c r="F9" s="8" t="n">
        <v>1</v>
      </c>
      <c r="G9" s="9" t="n">
        <v>4.530654</v>
      </c>
      <c r="H9" s="9" t="n">
        <v>-75.634098</v>
      </c>
      <c r="I9" s="8" t="s">
        <v>60</v>
      </c>
    </row>
    <row r="10" customFormat="false" ht="15" hidden="false" customHeight="false" outlineLevel="0" collapsed="false">
      <c r="A10" s="7" t="s">
        <v>50</v>
      </c>
      <c r="B10" s="7" t="s">
        <v>51</v>
      </c>
      <c r="C10" s="7" t="s">
        <v>52</v>
      </c>
      <c r="D10" s="7" t="s">
        <v>53</v>
      </c>
      <c r="E10" s="8" t="s">
        <v>57</v>
      </c>
      <c r="F10" s="8" t="n">
        <v>1</v>
      </c>
      <c r="G10" s="9" t="n">
        <v>4.51878</v>
      </c>
      <c r="H10" s="9" t="n">
        <v>-75.606768</v>
      </c>
      <c r="I10" s="10" t="s">
        <v>55</v>
      </c>
    </row>
    <row r="11" customFormat="false" ht="15" hidden="false" customHeight="false" outlineLevel="0" collapsed="false">
      <c r="E11" s="11" t="s">
        <v>62</v>
      </c>
      <c r="F11" s="12" t="n">
        <f aca="false">SUM(F5:F10)</f>
        <v>52</v>
      </c>
    </row>
    <row r="12" customFormat="false" ht="15" hidden="false" customHeight="false" outlineLevel="0" collapsed="false">
      <c r="E12" s="11" t="s">
        <v>63</v>
      </c>
      <c r="F12" s="13" t="n">
        <f aca="false">SUMIF(I5:I10,"Sí",F5:F10)</f>
        <v>42</v>
      </c>
    </row>
    <row r="14" customFormat="false" ht="15" hidden="false" customHeight="false" outlineLevel="0" collapsed="false">
      <c r="A14" s="3" t="s">
        <v>64</v>
      </c>
    </row>
    <row r="15" customFormat="false" ht="15" hidden="false" customHeight="false" outlineLevel="0" collapsed="false">
      <c r="A15" s="3" t="s">
        <v>65</v>
      </c>
    </row>
    <row r="16" customFormat="false" ht="15" hidden="false" customHeight="false" outlineLevel="0" collapsed="false">
      <c r="A16" s="14" t="s">
        <v>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7"/>
    <col collapsed="false" customWidth="true" hidden="false" outlineLevel="0" max="4" min="3" style="1" width="13"/>
    <col collapsed="false" customWidth="true" hidden="false" outlineLevel="0" max="5" min="5" style="1" width="15"/>
    <col collapsed="false" customWidth="true" hidden="false" outlineLevel="0" max="6" min="6" style="1" width="14"/>
    <col collapsed="false" customWidth="true" hidden="false" outlineLevel="0" max="7" min="7" style="1" width="9"/>
    <col collapsed="false" customWidth="true" hidden="false" outlineLevel="0" max="8" min="8" style="1" width="12"/>
    <col collapsed="false" customWidth="true" hidden="false" outlineLevel="0" max="9" min="9" style="1" width="13"/>
    <col collapsed="false" customWidth="true" hidden="false" outlineLevel="0" max="10" min="10" style="1" width="11"/>
  </cols>
  <sheetData>
    <row r="1" customFormat="false" ht="16.15" hidden="false" customHeight="false" outlineLevel="0" collapsed="false">
      <c r="A1" s="2" t="s">
        <v>67</v>
      </c>
    </row>
    <row r="2" customFormat="false" ht="15" hidden="false" customHeight="false" outlineLevel="0" collapsed="false">
      <c r="A2" s="3" t="s">
        <v>68</v>
      </c>
    </row>
    <row r="4" customFormat="false" ht="30" hidden="false" customHeight="true" outlineLevel="0" collapsed="false">
      <c r="A4" s="4" t="s">
        <v>69</v>
      </c>
      <c r="B4" s="4" t="s">
        <v>70</v>
      </c>
      <c r="C4" s="4" t="s">
        <v>71</v>
      </c>
      <c r="D4" s="4" t="s">
        <v>72</v>
      </c>
      <c r="E4" s="4" t="s">
        <v>73</v>
      </c>
      <c r="F4" s="4" t="s">
        <v>74</v>
      </c>
      <c r="G4" s="4" t="s">
        <v>75</v>
      </c>
      <c r="H4" s="4" t="s">
        <v>76</v>
      </c>
      <c r="I4" s="4" t="s">
        <v>77</v>
      </c>
      <c r="J4" s="4" t="s">
        <v>78</v>
      </c>
    </row>
    <row r="5" customFormat="false" ht="15" hidden="false" customHeight="false" outlineLevel="0" collapsed="false">
      <c r="A5" s="7" t="s">
        <v>79</v>
      </c>
      <c r="B5" s="7" t="n">
        <v>31</v>
      </c>
      <c r="C5" s="15" t="n">
        <v>31703</v>
      </c>
      <c r="D5" s="15" t="n">
        <v>13804</v>
      </c>
      <c r="E5" s="15" t="n">
        <v>8535</v>
      </c>
      <c r="F5" s="15" t="n">
        <v>9124</v>
      </c>
      <c r="G5" s="15" t="n">
        <v>240</v>
      </c>
      <c r="H5" s="16" t="n">
        <f aca="false">C5/B5</f>
        <v>1022.67741935484</v>
      </c>
      <c r="I5" s="16" t="n">
        <f aca="false">F5/B5</f>
        <v>294.322580645161</v>
      </c>
      <c r="J5" s="17" t="n">
        <f aca="false">IF(C5=0,"",F5/C5)</f>
        <v>0.287796107623884</v>
      </c>
    </row>
    <row r="6" customFormat="false" ht="15" hidden="false" customHeight="false" outlineLevel="0" collapsed="false">
      <c r="A6" s="7" t="s">
        <v>80</v>
      </c>
      <c r="B6" s="7" t="n">
        <v>30</v>
      </c>
      <c r="C6" s="15" t="n">
        <v>80209</v>
      </c>
      <c r="D6" s="15" t="n">
        <v>37660</v>
      </c>
      <c r="E6" s="15" t="n">
        <v>20990</v>
      </c>
      <c r="F6" s="15" t="n">
        <v>20711</v>
      </c>
      <c r="G6" s="15" t="n">
        <v>848</v>
      </c>
      <c r="H6" s="16" t="n">
        <f aca="false">C6/B6</f>
        <v>2673.63333333333</v>
      </c>
      <c r="I6" s="16" t="n">
        <f aca="false">F6/B6</f>
        <v>690.366666666667</v>
      </c>
      <c r="J6" s="17" t="n">
        <f aca="false">IF(C6=0,"",F6/C6)</f>
        <v>0.258212918749766</v>
      </c>
    </row>
    <row r="7" customFormat="false" ht="15" hidden="false" customHeight="false" outlineLevel="0" collapsed="false">
      <c r="A7" s="7" t="s">
        <v>81</v>
      </c>
      <c r="B7" s="7" t="n">
        <v>31</v>
      </c>
      <c r="C7" s="15" t="n">
        <v>126100</v>
      </c>
      <c r="D7" s="15" t="n">
        <v>83155</v>
      </c>
      <c r="E7" s="15" t="n">
        <v>22807</v>
      </c>
      <c r="F7" s="15" t="n">
        <v>19318</v>
      </c>
      <c r="G7" s="15" t="n">
        <v>820</v>
      </c>
      <c r="H7" s="16" t="n">
        <f aca="false">C7/B7</f>
        <v>4067.74193548387</v>
      </c>
      <c r="I7" s="16" t="n">
        <f aca="false">F7/B7</f>
        <v>623.161290322581</v>
      </c>
      <c r="J7" s="17" t="n">
        <f aca="false">IF(C7=0,"",F7/C7)</f>
        <v>0.15319587628866</v>
      </c>
    </row>
    <row r="8" customFormat="false" ht="15" hidden="false" customHeight="false" outlineLevel="0" collapsed="false">
      <c r="A8" s="7" t="s">
        <v>82</v>
      </c>
      <c r="B8" s="7" t="n">
        <v>31</v>
      </c>
      <c r="C8" s="15" t="n">
        <v>99824</v>
      </c>
      <c r="D8" s="15" t="n">
        <v>62264</v>
      </c>
      <c r="E8" s="15" t="n">
        <v>19476</v>
      </c>
      <c r="F8" s="15" t="n">
        <v>18084</v>
      </c>
      <c r="G8" s="15" t="n">
        <v>0</v>
      </c>
      <c r="H8" s="16" t="n">
        <f aca="false">C8/B8</f>
        <v>3220.12903225806</v>
      </c>
      <c r="I8" s="16" t="n">
        <f aca="false">F8/B8</f>
        <v>583.354838709677</v>
      </c>
      <c r="J8" s="17" t="n">
        <f aca="false">IF(C8=0,"",F8/C8)</f>
        <v>0.181158839557621</v>
      </c>
    </row>
    <row r="9" customFormat="false" ht="15" hidden="false" customHeight="false" outlineLevel="0" collapsed="false">
      <c r="A9" s="7" t="s">
        <v>83</v>
      </c>
      <c r="B9" s="7" t="n">
        <v>28</v>
      </c>
      <c r="C9" s="15" t="n">
        <v>61507</v>
      </c>
      <c r="D9" s="15" t="n">
        <v>28454</v>
      </c>
      <c r="E9" s="15" t="n">
        <v>17175</v>
      </c>
      <c r="F9" s="15" t="n">
        <v>15878</v>
      </c>
      <c r="G9" s="15" t="n">
        <v>0</v>
      </c>
      <c r="H9" s="16" t="n">
        <f aca="false">C9/B9</f>
        <v>2196.67857142857</v>
      </c>
      <c r="I9" s="16" t="n">
        <f aca="false">F9/B9</f>
        <v>567.071428571429</v>
      </c>
      <c r="J9" s="17" t="n">
        <f aca="false">IF(C9=0,"",F9/C9)</f>
        <v>0.258149478921098</v>
      </c>
    </row>
    <row r="10" customFormat="false" ht="15" hidden="false" customHeight="false" outlineLevel="0" collapsed="false">
      <c r="A10" s="7" t="s">
        <v>84</v>
      </c>
      <c r="B10" s="7" t="n">
        <v>31</v>
      </c>
      <c r="C10" s="15" t="n">
        <v>70150</v>
      </c>
      <c r="D10" s="15" t="n">
        <v>32573</v>
      </c>
      <c r="E10" s="15" t="n">
        <v>19919</v>
      </c>
      <c r="F10" s="15" t="n">
        <v>17658</v>
      </c>
      <c r="G10" s="15" t="n">
        <v>0</v>
      </c>
      <c r="H10" s="16" t="n">
        <f aca="false">C10/B10</f>
        <v>2262.90322580645</v>
      </c>
      <c r="I10" s="16" t="n">
        <f aca="false">F10/B10</f>
        <v>569.612903225807</v>
      </c>
      <c r="J10" s="17" t="n">
        <f aca="false">IF(C10=0,"",F10/C10)</f>
        <v>0.251717747683535</v>
      </c>
    </row>
    <row r="11" customFormat="false" ht="15" hidden="false" customHeight="false" outlineLevel="0" collapsed="false">
      <c r="A11" s="7" t="s">
        <v>85</v>
      </c>
      <c r="B11" s="7" t="n">
        <v>30</v>
      </c>
      <c r="C11" s="15" t="n">
        <v>85511</v>
      </c>
      <c r="D11" s="15" t="n">
        <v>51133</v>
      </c>
      <c r="E11" s="15" t="n">
        <v>18403</v>
      </c>
      <c r="F11" s="15" t="n">
        <v>15975</v>
      </c>
      <c r="G11" s="15" t="n">
        <v>0</v>
      </c>
      <c r="H11" s="16" t="n">
        <f aca="false">C11/B11</f>
        <v>2850.36666666667</v>
      </c>
      <c r="I11" s="16" t="n">
        <f aca="false">F11/B11</f>
        <v>532.5</v>
      </c>
      <c r="J11" s="17" t="n">
        <f aca="false">IF(C11=0,"",F11/C11)</f>
        <v>0.1868180701898</v>
      </c>
    </row>
    <row r="12" customFormat="false" ht="15" hidden="false" customHeight="false" outlineLevel="0" collapsed="false">
      <c r="A12" s="7" t="s">
        <v>86</v>
      </c>
      <c r="B12" s="7" t="n">
        <v>31</v>
      </c>
      <c r="C12" s="15" t="n">
        <v>47359</v>
      </c>
      <c r="D12" s="15" t="n">
        <v>18540</v>
      </c>
      <c r="E12" s="15" t="n">
        <v>14791</v>
      </c>
      <c r="F12" s="15" t="n">
        <v>14028</v>
      </c>
      <c r="G12" s="15" t="n">
        <v>0</v>
      </c>
      <c r="H12" s="16" t="n">
        <f aca="false">C12/B12</f>
        <v>1527.70967741935</v>
      </c>
      <c r="I12" s="16" t="n">
        <f aca="false">F12/B12</f>
        <v>452.516129032258</v>
      </c>
      <c r="J12" s="17" t="n">
        <f aca="false">IF(C12=0,"",F12/C12)</f>
        <v>0.29620557866509</v>
      </c>
    </row>
    <row r="13" customFormat="false" ht="15" hidden="false" customHeight="false" outlineLevel="0" collapsed="false">
      <c r="A13" s="7" t="s">
        <v>87</v>
      </c>
      <c r="B13" s="7" t="n">
        <v>30</v>
      </c>
      <c r="C13" s="15" t="n">
        <v>65482</v>
      </c>
      <c r="D13" s="15" t="n">
        <v>32454</v>
      </c>
      <c r="E13" s="15" t="n">
        <v>17273</v>
      </c>
      <c r="F13" s="15" t="n">
        <v>15755</v>
      </c>
      <c r="G13" s="15" t="n">
        <v>0</v>
      </c>
      <c r="H13" s="16" t="n">
        <f aca="false">C13/B13</f>
        <v>2182.73333333333</v>
      </c>
      <c r="I13" s="16" t="n">
        <f aca="false">F13/B13</f>
        <v>525.166666666667</v>
      </c>
      <c r="J13" s="17" t="n">
        <f aca="false">IF(C13=0,"",F13/C13)</f>
        <v>0.240600470358266</v>
      </c>
    </row>
    <row r="14" customFormat="false" ht="15" hidden="false" customHeight="false" outlineLevel="0" collapsed="false">
      <c r="A14" s="7" t="s">
        <v>88</v>
      </c>
      <c r="B14" s="7" t="n">
        <v>31</v>
      </c>
      <c r="C14" s="15" t="n">
        <v>72729</v>
      </c>
      <c r="D14" s="15" t="n">
        <v>39885</v>
      </c>
      <c r="E14" s="15" t="n">
        <v>17189</v>
      </c>
      <c r="F14" s="15" t="n">
        <v>15655</v>
      </c>
      <c r="G14" s="15" t="n">
        <v>0</v>
      </c>
      <c r="H14" s="16" t="n">
        <f aca="false">C14/B14</f>
        <v>2346.09677419355</v>
      </c>
      <c r="I14" s="16" t="n">
        <f aca="false">F14/B14</f>
        <v>505</v>
      </c>
      <c r="J14" s="17" t="n">
        <f aca="false">IF(C14=0,"",F14/C14)</f>
        <v>0.215251137785478</v>
      </c>
    </row>
    <row r="15" customFormat="false" ht="15" hidden="false" customHeight="false" outlineLevel="0" collapsed="false">
      <c r="A15" s="7" t="s">
        <v>89</v>
      </c>
      <c r="B15" s="7" t="n">
        <v>31</v>
      </c>
      <c r="C15" s="15" t="n">
        <v>71289</v>
      </c>
      <c r="D15" s="15" t="n">
        <v>36991</v>
      </c>
      <c r="E15" s="15" t="n">
        <v>18234</v>
      </c>
      <c r="F15" s="15" t="n">
        <v>16064</v>
      </c>
      <c r="G15" s="15" t="n">
        <v>0</v>
      </c>
      <c r="H15" s="16" t="n">
        <f aca="false">C15/B15</f>
        <v>2299.64516129032</v>
      </c>
      <c r="I15" s="16" t="n">
        <f aca="false">F15/B15</f>
        <v>518.193548387097</v>
      </c>
      <c r="J15" s="17" t="n">
        <f aca="false">IF(C15=0,"",F15/C15)</f>
        <v>0.22533630714416</v>
      </c>
    </row>
    <row r="16" customFormat="false" ht="15" hidden="false" customHeight="false" outlineLevel="0" collapsed="false">
      <c r="A16" s="7" t="s">
        <v>90</v>
      </c>
      <c r="B16" s="7" t="n">
        <v>30</v>
      </c>
      <c r="C16" s="15" t="n">
        <v>65877</v>
      </c>
      <c r="D16" s="15" t="n">
        <v>31672</v>
      </c>
      <c r="E16" s="15" t="n">
        <v>18287</v>
      </c>
      <c r="F16" s="15" t="n">
        <v>15918</v>
      </c>
      <c r="G16" s="15" t="n">
        <v>0</v>
      </c>
      <c r="H16" s="16" t="n">
        <f aca="false">C16/B16</f>
        <v>2195.9</v>
      </c>
      <c r="I16" s="16" t="n">
        <f aca="false">F16/B16</f>
        <v>530.6</v>
      </c>
      <c r="J16" s="17" t="n">
        <f aca="false">IF(C16=0,"",F16/C16)</f>
        <v>0.241632132610775</v>
      </c>
    </row>
    <row r="17" customFormat="false" ht="15" hidden="false" customHeight="false" outlineLevel="0" collapsed="false">
      <c r="A17" s="7" t="s">
        <v>91</v>
      </c>
      <c r="B17" s="7" t="n">
        <v>31</v>
      </c>
      <c r="C17" s="15" t="n">
        <v>78677</v>
      </c>
      <c r="D17" s="15" t="n">
        <v>43902</v>
      </c>
      <c r="E17" s="15" t="n">
        <v>19113</v>
      </c>
      <c r="F17" s="15" t="n">
        <v>15662</v>
      </c>
      <c r="G17" s="15" t="n">
        <v>0</v>
      </c>
      <c r="H17" s="16" t="n">
        <f aca="false">C17/B17</f>
        <v>2537.96774193548</v>
      </c>
      <c r="I17" s="16" t="n">
        <f aca="false">F17/B17</f>
        <v>505.225806451613</v>
      </c>
      <c r="J17" s="17" t="n">
        <f aca="false">IF(C17=0,"",F17/C17)</f>
        <v>0.199067071698209</v>
      </c>
    </row>
    <row r="18" customFormat="false" ht="15" hidden="false" customHeight="false" outlineLevel="0" collapsed="false">
      <c r="A18" s="7" t="s">
        <v>92</v>
      </c>
      <c r="B18" s="7" t="n">
        <v>30</v>
      </c>
      <c r="C18" s="15" t="n">
        <v>72599</v>
      </c>
      <c r="D18" s="15" t="n">
        <v>38174</v>
      </c>
      <c r="E18" s="15" t="n">
        <v>19350</v>
      </c>
      <c r="F18" s="15" t="n">
        <v>15075</v>
      </c>
      <c r="G18" s="15" t="n">
        <v>0</v>
      </c>
      <c r="H18" s="16" t="n">
        <f aca="false">C18/B18</f>
        <v>2419.96666666667</v>
      </c>
      <c r="I18" s="16" t="n">
        <f aca="false">F18/B18</f>
        <v>502.5</v>
      </c>
      <c r="J18" s="17" t="n">
        <f aca="false">IF(C18=0,"",F18/C18)</f>
        <v>0.207647488257414</v>
      </c>
    </row>
    <row r="19" customFormat="false" ht="15" hidden="false" customHeight="false" outlineLevel="0" collapsed="false">
      <c r="A19" s="7" t="s">
        <v>93</v>
      </c>
      <c r="B19" s="7" t="n">
        <v>31</v>
      </c>
      <c r="C19" s="15" t="n">
        <v>105534</v>
      </c>
      <c r="D19" s="15" t="n">
        <v>70830</v>
      </c>
      <c r="E19" s="15" t="n">
        <v>20306</v>
      </c>
      <c r="F19" s="15" t="n">
        <v>14398</v>
      </c>
      <c r="G19" s="15" t="n">
        <v>0</v>
      </c>
      <c r="H19" s="16" t="n">
        <f aca="false">C19/B19</f>
        <v>3404.32258064516</v>
      </c>
      <c r="I19" s="16" t="n">
        <f aca="false">F19/B19</f>
        <v>464.451612903226</v>
      </c>
      <c r="J19" s="17" t="n">
        <f aca="false">IF(C19=0,"",F19/C19)</f>
        <v>0.136429965698258</v>
      </c>
    </row>
    <row r="20" customFormat="false" ht="15" hidden="false" customHeight="false" outlineLevel="0" collapsed="false">
      <c r="A20" s="7" t="s">
        <v>94</v>
      </c>
      <c r="B20" s="7" t="n">
        <v>31</v>
      </c>
      <c r="C20" s="15" t="n">
        <v>99466</v>
      </c>
      <c r="D20" s="15" t="n">
        <v>66843</v>
      </c>
      <c r="E20" s="15" t="n">
        <v>18752</v>
      </c>
      <c r="F20" s="15" t="n">
        <v>13871</v>
      </c>
      <c r="G20" s="15" t="n">
        <v>0</v>
      </c>
      <c r="H20" s="16" t="n">
        <f aca="false">C20/B20</f>
        <v>3208.58064516129</v>
      </c>
      <c r="I20" s="16" t="n">
        <f aca="false">F20/B20</f>
        <v>447.451612903226</v>
      </c>
      <c r="J20" s="17" t="n">
        <f aca="false">IF(C20=0,"",F20/C20)</f>
        <v>0.139454688034102</v>
      </c>
    </row>
    <row r="21" customFormat="false" ht="15" hidden="false" customHeight="false" outlineLevel="0" collapsed="false">
      <c r="A21" s="7" t="s">
        <v>95</v>
      </c>
      <c r="B21" s="7" t="n">
        <v>28</v>
      </c>
      <c r="C21" s="15" t="n">
        <v>60355</v>
      </c>
      <c r="D21" s="15" t="n">
        <v>28798</v>
      </c>
      <c r="E21" s="15" t="n">
        <v>17169</v>
      </c>
      <c r="F21" s="15" t="n">
        <v>14388</v>
      </c>
      <c r="G21" s="15" t="n">
        <v>0</v>
      </c>
      <c r="H21" s="16" t="n">
        <f aca="false">C21/B21</f>
        <v>2155.53571428571</v>
      </c>
      <c r="I21" s="16" t="n">
        <f aca="false">F21/B21</f>
        <v>513.857142857143</v>
      </c>
      <c r="J21" s="17" t="n">
        <f aca="false">IF(C21=0,"",F21/C21)</f>
        <v>0.238389528622318</v>
      </c>
    </row>
    <row r="22" customFormat="false" ht="15" hidden="false" customHeight="false" outlineLevel="0" collapsed="false">
      <c r="A22" s="7" t="s">
        <v>96</v>
      </c>
      <c r="B22" s="7" t="n">
        <v>31</v>
      </c>
      <c r="C22" s="15" t="n">
        <v>72447</v>
      </c>
      <c r="D22" s="15" t="n">
        <v>37761</v>
      </c>
      <c r="E22" s="15" t="n">
        <v>19531</v>
      </c>
      <c r="F22" s="15" t="n">
        <v>15155</v>
      </c>
      <c r="G22" s="15" t="n">
        <v>0</v>
      </c>
      <c r="H22" s="16" t="n">
        <f aca="false">C22/B22</f>
        <v>2337</v>
      </c>
      <c r="I22" s="16" t="n">
        <f aca="false">F22/B22</f>
        <v>488.870967741936</v>
      </c>
      <c r="J22" s="17" t="n">
        <f aca="false">IF(C22=0,"",F22/C22)</f>
        <v>0.20918740596574</v>
      </c>
    </row>
    <row r="23" customFormat="false" ht="15" hidden="false" customHeight="false" outlineLevel="0" collapsed="false">
      <c r="A23" s="7" t="s">
        <v>97</v>
      </c>
      <c r="B23" s="7" t="n">
        <v>30</v>
      </c>
      <c r="C23" s="15" t="n">
        <v>143448</v>
      </c>
      <c r="D23" s="15" t="n">
        <v>91871</v>
      </c>
      <c r="E23" s="15" t="n">
        <v>30065</v>
      </c>
      <c r="F23" s="15" t="n">
        <v>21512</v>
      </c>
      <c r="G23" s="15" t="n">
        <v>0</v>
      </c>
      <c r="H23" s="16" t="n">
        <f aca="false">C23/B23</f>
        <v>4781.6</v>
      </c>
      <c r="I23" s="16" t="n">
        <f aca="false">F23/B23</f>
        <v>717.066666666667</v>
      </c>
      <c r="J23" s="17" t="n">
        <f aca="false">IF(C23=0,"",F23/C23)</f>
        <v>0.149963749930288</v>
      </c>
    </row>
    <row r="24" customFormat="false" ht="15" hidden="false" customHeight="false" outlineLevel="0" collapsed="false">
      <c r="A24" s="7" t="s">
        <v>98</v>
      </c>
      <c r="B24" s="7" t="n">
        <v>31</v>
      </c>
      <c r="C24" s="15" t="n">
        <v>112005</v>
      </c>
      <c r="D24" s="15" t="n">
        <v>59089</v>
      </c>
      <c r="E24" s="15" t="n">
        <v>32467</v>
      </c>
      <c r="F24" s="15" t="n">
        <v>20449</v>
      </c>
      <c r="G24" s="15" t="n">
        <v>0</v>
      </c>
      <c r="H24" s="16" t="n">
        <f aca="false">C24/B24</f>
        <v>3613.06451612903</v>
      </c>
      <c r="I24" s="16" t="n">
        <f aca="false">F24/B24</f>
        <v>659.645161290323</v>
      </c>
      <c r="J24" s="17" t="n">
        <f aca="false">IF(C24=0,"",F24/C24)</f>
        <v>0.18257220659792</v>
      </c>
    </row>
    <row r="25" customFormat="false" ht="15" hidden="false" customHeight="false" outlineLevel="0" collapsed="false">
      <c r="A25" s="7" t="s">
        <v>99</v>
      </c>
      <c r="B25" s="7" t="n">
        <v>30</v>
      </c>
      <c r="C25" s="15" t="n">
        <v>129749</v>
      </c>
      <c r="D25" s="15" t="n">
        <v>78190</v>
      </c>
      <c r="E25" s="15" t="n">
        <v>32626</v>
      </c>
      <c r="F25" s="15" t="n">
        <v>18933</v>
      </c>
      <c r="G25" s="15" t="n">
        <v>0</v>
      </c>
      <c r="H25" s="16" t="n">
        <f aca="false">C25/B25</f>
        <v>4324.96666666667</v>
      </c>
      <c r="I25" s="16" t="n">
        <f aca="false">F25/B25</f>
        <v>631.1</v>
      </c>
      <c r="J25" s="17" t="n">
        <f aca="false">IF(C25=0,"",F25/C25)</f>
        <v>0.145920199770326</v>
      </c>
    </row>
    <row r="26" customFormat="false" ht="15" hidden="false" customHeight="false" outlineLevel="0" collapsed="false">
      <c r="A26" s="7" t="s">
        <v>100</v>
      </c>
      <c r="B26" s="7" t="n">
        <v>31</v>
      </c>
      <c r="C26" s="15" t="n">
        <v>139260</v>
      </c>
      <c r="D26" s="15" t="n">
        <v>86073</v>
      </c>
      <c r="E26" s="15" t="n">
        <v>34449</v>
      </c>
      <c r="F26" s="15" t="n">
        <v>18738</v>
      </c>
      <c r="G26" s="15" t="n">
        <v>0</v>
      </c>
      <c r="H26" s="16" t="n">
        <f aca="false">C26/B26</f>
        <v>4492.25806451613</v>
      </c>
      <c r="I26" s="16" t="n">
        <f aca="false">F26/B26</f>
        <v>604.451612903226</v>
      </c>
      <c r="J26" s="17" t="n">
        <f aca="false">IF(C26=0,"",F26/C26)</f>
        <v>0.134554071520896</v>
      </c>
    </row>
    <row r="27" customFormat="false" ht="15" hidden="false" customHeight="false" outlineLevel="0" collapsed="false">
      <c r="A27" s="7" t="s">
        <v>101</v>
      </c>
      <c r="B27" s="7" t="n">
        <v>31</v>
      </c>
      <c r="C27" s="15" t="n">
        <v>128255</v>
      </c>
      <c r="D27" s="15" t="n">
        <v>73939</v>
      </c>
      <c r="E27" s="15" t="n">
        <v>35099</v>
      </c>
      <c r="F27" s="15" t="n">
        <v>19217</v>
      </c>
      <c r="G27" s="15" t="n">
        <v>0</v>
      </c>
      <c r="H27" s="16" t="n">
        <f aca="false">C27/B27</f>
        <v>4137.25806451613</v>
      </c>
      <c r="I27" s="16" t="n">
        <f aca="false">F27/B27</f>
        <v>619.903225806452</v>
      </c>
      <c r="J27" s="17" t="n">
        <f aca="false">IF(C27=0,"",F27/C27)</f>
        <v>0.149834314451678</v>
      </c>
    </row>
    <row r="28" customFormat="false" ht="15" hidden="false" customHeight="false" outlineLevel="0" collapsed="false">
      <c r="A28" s="7" t="s">
        <v>102</v>
      </c>
      <c r="B28" s="7" t="n">
        <v>30</v>
      </c>
      <c r="C28" s="15" t="n">
        <v>109641</v>
      </c>
      <c r="D28" s="15" t="n">
        <v>56136</v>
      </c>
      <c r="E28" s="15" t="n">
        <v>34659</v>
      </c>
      <c r="F28" s="15" t="n">
        <v>18846</v>
      </c>
      <c r="G28" s="15" t="n">
        <v>0</v>
      </c>
      <c r="H28" s="16" t="n">
        <f aca="false">C28/B28</f>
        <v>3654.7</v>
      </c>
      <c r="I28" s="16" t="n">
        <f aca="false">F28/B28</f>
        <v>628.2</v>
      </c>
      <c r="J28" s="17" t="n">
        <f aca="false">IF(C28=0,"",F28/C28)</f>
        <v>0.171888253481818</v>
      </c>
    </row>
    <row r="29" customFormat="false" ht="15" hidden="false" customHeight="false" outlineLevel="0" collapsed="false">
      <c r="A29" s="7" t="s">
        <v>103</v>
      </c>
      <c r="B29" s="7" t="n">
        <v>31</v>
      </c>
      <c r="C29" s="15" t="n">
        <v>132990</v>
      </c>
      <c r="D29" s="15" t="n">
        <v>76081</v>
      </c>
      <c r="E29" s="15" t="n">
        <v>36947</v>
      </c>
      <c r="F29" s="15" t="n">
        <v>19962</v>
      </c>
      <c r="G29" s="15" t="n">
        <v>0</v>
      </c>
      <c r="H29" s="16" t="n">
        <f aca="false">C29/B29</f>
        <v>4290</v>
      </c>
      <c r="I29" s="16" t="n">
        <f aca="false">F29/B29</f>
        <v>643.935483870968</v>
      </c>
      <c r="J29" s="17" t="n">
        <f aca="false">IF(C29=0,"",F29/C29)</f>
        <v>0.150101511391834</v>
      </c>
    </row>
    <row r="30" customFormat="false" ht="15" hidden="false" customHeight="false" outlineLevel="0" collapsed="false">
      <c r="A30" s="7" t="s">
        <v>104</v>
      </c>
      <c r="B30" s="7" t="n">
        <v>30</v>
      </c>
      <c r="C30" s="15" t="n">
        <v>127834</v>
      </c>
      <c r="D30" s="15" t="n">
        <v>68902</v>
      </c>
      <c r="E30" s="15" t="n">
        <v>38262</v>
      </c>
      <c r="F30" s="15" t="n">
        <v>20670</v>
      </c>
      <c r="G30" s="15" t="n">
        <v>0</v>
      </c>
      <c r="H30" s="16" t="n">
        <f aca="false">C30/B30</f>
        <v>4261.13333333333</v>
      </c>
      <c r="I30" s="16" t="n">
        <f aca="false">F30/B30</f>
        <v>689</v>
      </c>
      <c r="J30" s="17" t="n">
        <f aca="false">IF(C30=0,"",F30/C30)</f>
        <v>0.161694071999625</v>
      </c>
    </row>
    <row r="31" customFormat="false" ht="15" hidden="false" customHeight="false" outlineLevel="0" collapsed="false">
      <c r="A31" s="7" t="s">
        <v>105</v>
      </c>
      <c r="B31" s="7" t="n">
        <v>31</v>
      </c>
      <c r="C31" s="15" t="n">
        <v>182884</v>
      </c>
      <c r="D31" s="15" t="n">
        <v>121002</v>
      </c>
      <c r="E31" s="15" t="n">
        <v>41349</v>
      </c>
      <c r="F31" s="15" t="n">
        <v>20533</v>
      </c>
      <c r="G31" s="15" t="n">
        <v>0</v>
      </c>
      <c r="H31" s="16" t="n">
        <f aca="false">C31/B31</f>
        <v>5899.48387096774</v>
      </c>
      <c r="I31" s="16" t="n">
        <f aca="false">F31/B31</f>
        <v>662.354838709677</v>
      </c>
      <c r="J31" s="17" t="n">
        <f aca="false">IF(C31=0,"",F31/C31)</f>
        <v>0.11227335360119</v>
      </c>
    </row>
    <row r="32" customFormat="false" ht="15" hidden="false" customHeight="false" outlineLevel="0" collapsed="false">
      <c r="A32" s="7" t="s">
        <v>106</v>
      </c>
      <c r="B32" s="7" t="n">
        <v>31</v>
      </c>
      <c r="C32" s="15" t="n">
        <v>186883</v>
      </c>
      <c r="D32" s="15" t="n">
        <v>128733</v>
      </c>
      <c r="E32" s="15" t="n">
        <v>38772</v>
      </c>
      <c r="F32" s="15" t="n">
        <v>19378</v>
      </c>
      <c r="G32" s="15" t="n">
        <v>0</v>
      </c>
      <c r="H32" s="16" t="n">
        <f aca="false">C32/B32</f>
        <v>6028.48387096774</v>
      </c>
      <c r="I32" s="16" t="n">
        <f aca="false">F32/B32</f>
        <v>625.096774193548</v>
      </c>
      <c r="J32" s="17" t="n">
        <f aca="false">IF(C32=0,"",F32/C32)</f>
        <v>0.103690544351279</v>
      </c>
    </row>
    <row r="33" customFormat="false" ht="15" hidden="false" customHeight="false" outlineLevel="0" collapsed="false">
      <c r="A33" s="7" t="s">
        <v>107</v>
      </c>
      <c r="B33" s="7" t="n">
        <v>29</v>
      </c>
      <c r="C33" s="15" t="n">
        <v>105100</v>
      </c>
      <c r="D33" s="15" t="n">
        <v>51442</v>
      </c>
      <c r="E33" s="15" t="n">
        <v>34798</v>
      </c>
      <c r="F33" s="15" t="n">
        <v>18860</v>
      </c>
      <c r="G33" s="15" t="n">
        <v>0</v>
      </c>
      <c r="H33" s="16" t="n">
        <f aca="false">C33/B33</f>
        <v>3624.13793103448</v>
      </c>
      <c r="I33" s="16" t="n">
        <f aca="false">F33/B33</f>
        <v>650.344827586207</v>
      </c>
      <c r="J33" s="17" t="n">
        <f aca="false">IF(C33=0,"",F33/C33)</f>
        <v>0.179448144624167</v>
      </c>
    </row>
    <row r="34" customFormat="false" ht="15" hidden="false" customHeight="false" outlineLevel="0" collapsed="false">
      <c r="A34" s="7" t="s">
        <v>108</v>
      </c>
      <c r="B34" s="7" t="n">
        <v>31</v>
      </c>
      <c r="C34" s="15" t="n">
        <v>145624</v>
      </c>
      <c r="D34" s="15" t="n">
        <v>92181</v>
      </c>
      <c r="E34" s="15" t="n">
        <v>35145</v>
      </c>
      <c r="F34" s="15" t="n">
        <v>18298</v>
      </c>
      <c r="G34" s="15" t="n">
        <v>0</v>
      </c>
      <c r="H34" s="16" t="n">
        <f aca="false">C34/B34</f>
        <v>4697.54838709678</v>
      </c>
      <c r="I34" s="16" t="n">
        <f aca="false">F34/B34</f>
        <v>590.258064516129</v>
      </c>
      <c r="J34" s="17" t="n">
        <f aca="false">IF(C34=0,"",F34/C34)</f>
        <v>0.125652364994781</v>
      </c>
    </row>
    <row r="35" customFormat="false" ht="15" hidden="false" customHeight="false" outlineLevel="0" collapsed="false">
      <c r="A35" s="7" t="s">
        <v>109</v>
      </c>
      <c r="B35" s="7" t="n">
        <v>30</v>
      </c>
      <c r="C35" s="15" t="n">
        <v>106196</v>
      </c>
      <c r="D35" s="15" t="n">
        <v>50089</v>
      </c>
      <c r="E35" s="15" t="n">
        <v>36714</v>
      </c>
      <c r="F35" s="15" t="n">
        <v>19393</v>
      </c>
      <c r="G35" s="15" t="n">
        <v>0</v>
      </c>
      <c r="H35" s="16" t="n">
        <f aca="false">C35/B35</f>
        <v>3539.86666666667</v>
      </c>
      <c r="I35" s="16" t="n">
        <f aca="false">F35/B35</f>
        <v>646.433333333333</v>
      </c>
      <c r="J35" s="17" t="n">
        <f aca="false">IF(C35=0,"",F35/C35)</f>
        <v>0.182615164412972</v>
      </c>
    </row>
    <row r="36" customFormat="false" ht="15" hidden="false" customHeight="false" outlineLevel="0" collapsed="false">
      <c r="A36" s="7" t="s">
        <v>110</v>
      </c>
      <c r="B36" s="7" t="n">
        <v>31</v>
      </c>
      <c r="C36" s="15" t="n">
        <v>114917</v>
      </c>
      <c r="D36" s="15" t="n">
        <v>54631</v>
      </c>
      <c r="E36" s="15" t="n">
        <v>39230</v>
      </c>
      <c r="F36" s="15" t="n">
        <v>21056</v>
      </c>
      <c r="G36" s="15" t="n">
        <v>0</v>
      </c>
      <c r="H36" s="16" t="n">
        <f aca="false">C36/B36</f>
        <v>3707</v>
      </c>
      <c r="I36" s="16" t="n">
        <f aca="false">F36/B36</f>
        <v>679.225806451613</v>
      </c>
      <c r="J36" s="17" t="n">
        <f aca="false">IF(C36=0,"",F36/C36)</f>
        <v>0.183227894915461</v>
      </c>
    </row>
    <row r="37" customFormat="false" ht="15" hidden="false" customHeight="false" outlineLevel="0" collapsed="false">
      <c r="A37" s="7" t="s">
        <v>111</v>
      </c>
      <c r="B37" s="7" t="n">
        <v>30</v>
      </c>
      <c r="C37" s="15" t="n">
        <v>134222</v>
      </c>
      <c r="D37" s="15" t="n">
        <v>76641</v>
      </c>
      <c r="E37" s="15" t="n">
        <v>38548</v>
      </c>
      <c r="F37" s="15" t="n">
        <v>19033</v>
      </c>
      <c r="G37" s="15" t="n">
        <v>0</v>
      </c>
      <c r="H37" s="16" t="n">
        <f aca="false">C37/B37</f>
        <v>4474.06666666667</v>
      </c>
      <c r="I37" s="16" t="n">
        <f aca="false">F37/B37</f>
        <v>634.433333333333</v>
      </c>
      <c r="J37" s="17" t="n">
        <f aca="false">IF(C37=0,"",F37/C37)</f>
        <v>0.141802387090045</v>
      </c>
    </row>
    <row r="38" customFormat="false" ht="15" hidden="false" customHeight="false" outlineLevel="0" collapsed="false">
      <c r="A38" s="7" t="s">
        <v>112</v>
      </c>
      <c r="B38" s="7" t="n">
        <v>31</v>
      </c>
      <c r="C38" s="15" t="n">
        <v>130949</v>
      </c>
      <c r="D38" s="15" t="n">
        <v>70609</v>
      </c>
      <c r="E38" s="15" t="n">
        <v>39642</v>
      </c>
      <c r="F38" s="15" t="n">
        <v>20698</v>
      </c>
      <c r="G38" s="15" t="n">
        <v>0</v>
      </c>
      <c r="H38" s="16" t="n">
        <f aca="false">C38/B38</f>
        <v>4224.16129032258</v>
      </c>
      <c r="I38" s="16" t="n">
        <f aca="false">F38/B38</f>
        <v>667.677419354839</v>
      </c>
      <c r="J38" s="17" t="n">
        <f aca="false">IF(C38=0,"",F38/C38)</f>
        <v>0.158061535406914</v>
      </c>
    </row>
    <row r="39" customFormat="false" ht="15" hidden="false" customHeight="false" outlineLevel="0" collapsed="false">
      <c r="A39" s="7" t="s">
        <v>113</v>
      </c>
      <c r="B39" s="7" t="n">
        <v>31</v>
      </c>
      <c r="C39" s="15" t="n">
        <v>132008</v>
      </c>
      <c r="D39" s="15" t="n">
        <v>71598</v>
      </c>
      <c r="E39" s="15" t="n">
        <v>39686</v>
      </c>
      <c r="F39" s="15" t="n">
        <v>20724</v>
      </c>
      <c r="G39" s="15" t="n">
        <v>0</v>
      </c>
      <c r="H39" s="16" t="n">
        <f aca="false">C39/B39</f>
        <v>4258.32258064516</v>
      </c>
      <c r="I39" s="16" t="n">
        <f aca="false">F39/B39</f>
        <v>668.516129032258</v>
      </c>
      <c r="J39" s="17" t="n">
        <f aca="false">IF(C39=0,"",F39/C39)</f>
        <v>0.156990485425126</v>
      </c>
    </row>
    <row r="40" customFormat="false" ht="15" hidden="false" customHeight="false" outlineLevel="0" collapsed="false">
      <c r="A40" s="7" t="s">
        <v>114</v>
      </c>
      <c r="B40" s="7" t="n">
        <v>30</v>
      </c>
      <c r="C40" s="15" t="n">
        <v>110460</v>
      </c>
      <c r="D40" s="15" t="n">
        <v>53172</v>
      </c>
      <c r="E40" s="15" t="n">
        <v>37182</v>
      </c>
      <c r="F40" s="15" t="n">
        <v>20106</v>
      </c>
      <c r="G40" s="15" t="n">
        <v>0</v>
      </c>
      <c r="H40" s="16" t="n">
        <f aca="false">C40/B40</f>
        <v>3682</v>
      </c>
      <c r="I40" s="16" t="n">
        <f aca="false">F40/B40</f>
        <v>670.2</v>
      </c>
      <c r="J40" s="17" t="n">
        <f aca="false">IF(C40=0,"",F40/C40)</f>
        <v>0.182020640956002</v>
      </c>
    </row>
    <row r="41" customFormat="false" ht="15" hidden="false" customHeight="false" outlineLevel="0" collapsed="false">
      <c r="A41" s="7" t="s">
        <v>115</v>
      </c>
      <c r="B41" s="7" t="n">
        <v>31</v>
      </c>
      <c r="C41" s="15" t="n">
        <v>145145</v>
      </c>
      <c r="D41" s="15" t="n">
        <v>78945</v>
      </c>
      <c r="E41" s="15" t="n">
        <v>42470</v>
      </c>
      <c r="F41" s="15" t="n">
        <v>23730</v>
      </c>
      <c r="G41" s="15" t="n">
        <v>0</v>
      </c>
      <c r="H41" s="16" t="n">
        <f aca="false">C41/B41</f>
        <v>4682.09677419355</v>
      </c>
      <c r="I41" s="16" t="n">
        <f aca="false">F41/B41</f>
        <v>765.483870967742</v>
      </c>
      <c r="J41" s="17" t="n">
        <f aca="false">IF(C41=0,"",F41/C41)</f>
        <v>0.16349168073306</v>
      </c>
    </row>
    <row r="42" customFormat="false" ht="15" hidden="false" customHeight="false" outlineLevel="0" collapsed="false">
      <c r="A42" s="7" t="s">
        <v>116</v>
      </c>
      <c r="B42" s="7" t="n">
        <v>30</v>
      </c>
      <c r="C42" s="15" t="n">
        <v>133799</v>
      </c>
      <c r="D42" s="15" t="n">
        <v>70343</v>
      </c>
      <c r="E42" s="15" t="n">
        <v>41176</v>
      </c>
      <c r="F42" s="15" t="n">
        <v>22280</v>
      </c>
      <c r="G42" s="15" t="n">
        <v>0</v>
      </c>
      <c r="H42" s="16" t="n">
        <f aca="false">C42/B42</f>
        <v>4459.96666666667</v>
      </c>
      <c r="I42" s="16" t="n">
        <f aca="false">F42/B42</f>
        <v>742.666666666667</v>
      </c>
      <c r="J42" s="17" t="n">
        <f aca="false">IF(C42=0,"",F42/C42)</f>
        <v>0.16651843436797</v>
      </c>
    </row>
    <row r="43" customFormat="false" ht="15" hidden="false" customHeight="false" outlineLevel="0" collapsed="false">
      <c r="A43" s="7" t="s">
        <v>117</v>
      </c>
      <c r="B43" s="7" t="n">
        <v>31</v>
      </c>
      <c r="C43" s="15" t="n">
        <v>189204</v>
      </c>
      <c r="D43" s="15" t="n">
        <v>122881</v>
      </c>
      <c r="E43" s="15" t="n">
        <v>43484</v>
      </c>
      <c r="F43" s="15" t="n">
        <v>22839</v>
      </c>
      <c r="G43" s="15" t="n">
        <v>0</v>
      </c>
      <c r="H43" s="16" t="n">
        <f aca="false">C43/B43</f>
        <v>6103.35483870968</v>
      </c>
      <c r="I43" s="16" t="n">
        <f aca="false">F43/B43</f>
        <v>736.741935483871</v>
      </c>
      <c r="J43" s="17" t="n">
        <f aca="false">IF(C43=0,"",F43/C43)</f>
        <v>0.120710978626245</v>
      </c>
    </row>
    <row r="44" customFormat="false" ht="15" hidden="false" customHeight="false" outlineLevel="0" collapsed="false">
      <c r="A44" s="7" t="s">
        <v>118</v>
      </c>
      <c r="B44" s="7" t="n">
        <v>31</v>
      </c>
      <c r="C44" s="15" t="n">
        <v>195013</v>
      </c>
      <c r="D44" s="15" t="n">
        <v>134556</v>
      </c>
      <c r="E44" s="15" t="n">
        <v>37701</v>
      </c>
      <c r="F44" s="15" t="n">
        <v>22756</v>
      </c>
      <c r="G44" s="15" t="n">
        <v>0</v>
      </c>
      <c r="H44" s="16" t="n">
        <f aca="false">C44/B44</f>
        <v>6290.74193548387</v>
      </c>
      <c r="I44" s="16" t="n">
        <f aca="false">F44/B44</f>
        <v>734.064516129032</v>
      </c>
      <c r="J44" s="17" t="n">
        <f aca="false">IF(C44=0,"",F44/C44)</f>
        <v>0.116689656586997</v>
      </c>
    </row>
    <row r="45" customFormat="false" ht="15" hidden="false" customHeight="false" outlineLevel="0" collapsed="false">
      <c r="A45" s="7" t="s">
        <v>119</v>
      </c>
      <c r="B45" s="7" t="n">
        <v>28</v>
      </c>
      <c r="C45" s="15" t="n">
        <v>108962</v>
      </c>
      <c r="D45" s="15" t="n">
        <v>53116</v>
      </c>
      <c r="E45" s="15" t="n">
        <v>33311</v>
      </c>
      <c r="F45" s="15" t="n">
        <v>22535</v>
      </c>
      <c r="G45" s="15" t="n">
        <v>0</v>
      </c>
      <c r="H45" s="16" t="n">
        <f aca="false">C45/B45</f>
        <v>3891.5</v>
      </c>
      <c r="I45" s="16" t="n">
        <f aca="false">F45/B45</f>
        <v>804.821428571429</v>
      </c>
      <c r="J45" s="17" t="n">
        <f aca="false">IF(C45=0,"",F45/C45)</f>
        <v>0.206815219984949</v>
      </c>
    </row>
    <row r="46" customFormat="false" ht="15" hidden="false" customHeight="false" outlineLevel="0" collapsed="false">
      <c r="A46" s="7" t="s">
        <v>120</v>
      </c>
      <c r="B46" s="7" t="n">
        <v>31</v>
      </c>
      <c r="C46" s="15" t="n">
        <v>134210</v>
      </c>
      <c r="D46" s="15" t="n">
        <v>63624</v>
      </c>
      <c r="E46" s="15" t="n">
        <v>40449</v>
      </c>
      <c r="F46" s="15" t="n">
        <v>30137</v>
      </c>
      <c r="G46" s="15" t="n">
        <v>0</v>
      </c>
      <c r="H46" s="16" t="n">
        <f aca="false">C46/B46</f>
        <v>4329.35483870968</v>
      </c>
      <c r="I46" s="16" t="n">
        <f aca="false">F46/B46</f>
        <v>972.161290322581</v>
      </c>
      <c r="J46" s="17" t="n">
        <f aca="false">IF(C46=0,"",F46/C46)</f>
        <v>0.224551076670889</v>
      </c>
    </row>
    <row r="47" customFormat="false" ht="15" hidden="false" customHeight="false" outlineLevel="0" collapsed="false">
      <c r="A47" s="7" t="s">
        <v>121</v>
      </c>
      <c r="B47" s="7" t="n">
        <v>30</v>
      </c>
      <c r="C47" s="15" t="n">
        <v>153454</v>
      </c>
      <c r="D47" s="15" t="n">
        <v>93558</v>
      </c>
      <c r="E47" s="15" t="n">
        <v>36041</v>
      </c>
      <c r="F47" s="15" t="n">
        <v>23855</v>
      </c>
      <c r="G47" s="15" t="n">
        <v>0</v>
      </c>
      <c r="H47" s="16" t="n">
        <f aca="false">C47/B47</f>
        <v>5115.13333333333</v>
      </c>
      <c r="I47" s="16" t="n">
        <f aca="false">F47/B47</f>
        <v>795.166666666667</v>
      </c>
      <c r="J47" s="17" t="n">
        <f aca="false">IF(C47=0,"",F47/C47)</f>
        <v>0.155453751612861</v>
      </c>
    </row>
    <row r="48" customFormat="false" ht="15" hidden="false" customHeight="false" outlineLevel="0" collapsed="false">
      <c r="A48" s="7" t="s">
        <v>122</v>
      </c>
      <c r="B48" s="7" t="n">
        <v>31</v>
      </c>
      <c r="C48" s="15" t="n">
        <v>127206</v>
      </c>
      <c r="D48" s="15" t="n">
        <v>60919</v>
      </c>
      <c r="E48" s="15" t="n">
        <v>38527</v>
      </c>
      <c r="F48" s="15" t="n">
        <v>27760</v>
      </c>
      <c r="G48" s="15" t="n">
        <v>0</v>
      </c>
      <c r="H48" s="16" t="n">
        <f aca="false">C48/B48</f>
        <v>4103.41935483871</v>
      </c>
      <c r="I48" s="16" t="n">
        <f aca="false">F48/B48</f>
        <v>895.483870967742</v>
      </c>
      <c r="J48" s="17" t="n">
        <f aca="false">IF(C48=0,"",F48/C48)</f>
        <v>0.218228699904093</v>
      </c>
    </row>
    <row r="49" customFormat="false" ht="15" hidden="false" customHeight="false" outlineLevel="0" collapsed="false">
      <c r="A49" s="7" t="s">
        <v>123</v>
      </c>
      <c r="B49" s="7" t="n">
        <v>30</v>
      </c>
      <c r="C49" s="15" t="n">
        <v>147351</v>
      </c>
      <c r="D49" s="15" t="n">
        <v>85338</v>
      </c>
      <c r="E49" s="15" t="n">
        <v>36802</v>
      </c>
      <c r="F49" s="15" t="n">
        <v>25211</v>
      </c>
      <c r="G49" s="15" t="n">
        <v>0</v>
      </c>
      <c r="H49" s="16" t="n">
        <f aca="false">C49/B49</f>
        <v>4911.7</v>
      </c>
      <c r="I49" s="16" t="n">
        <f aca="false">F49/B49</f>
        <v>840.366666666667</v>
      </c>
      <c r="J49" s="17" t="n">
        <f aca="false">IF(C49=0,"",F49/C49)</f>
        <v>0.171094868714837</v>
      </c>
    </row>
    <row r="50" customFormat="false" ht="15" hidden="false" customHeight="false" outlineLevel="0" collapsed="false">
      <c r="A50" s="7" t="s">
        <v>124</v>
      </c>
      <c r="B50" s="7" t="n">
        <v>31</v>
      </c>
      <c r="C50" s="15" t="n">
        <v>142640</v>
      </c>
      <c r="D50" s="15" t="n">
        <v>75597</v>
      </c>
      <c r="E50" s="15" t="n">
        <v>39473</v>
      </c>
      <c r="F50" s="15" t="n">
        <v>27570</v>
      </c>
      <c r="G50" s="15" t="n">
        <v>0</v>
      </c>
      <c r="H50" s="16" t="n">
        <f aca="false">C50/B50</f>
        <v>4601.29032258065</v>
      </c>
      <c r="I50" s="16" t="n">
        <f aca="false">F50/B50</f>
        <v>889.354838709677</v>
      </c>
      <c r="J50" s="17" t="n">
        <f aca="false">IF(C50=0,"",F50/C50)</f>
        <v>0.193283791362872</v>
      </c>
    </row>
    <row r="51" customFormat="false" ht="15" hidden="false" customHeight="false" outlineLevel="0" collapsed="false">
      <c r="A51" s="7" t="s">
        <v>125</v>
      </c>
      <c r="B51" s="7" t="n">
        <v>31</v>
      </c>
      <c r="C51" s="15" t="n">
        <v>148731</v>
      </c>
      <c r="D51" s="15" t="n">
        <v>83520</v>
      </c>
      <c r="E51" s="15" t="n">
        <v>38428</v>
      </c>
      <c r="F51" s="15" t="n">
        <v>26783</v>
      </c>
      <c r="G51" s="15" t="n">
        <v>0</v>
      </c>
      <c r="H51" s="16" t="n">
        <f aca="false">C51/B51</f>
        <v>4797.77419354839</v>
      </c>
      <c r="I51" s="16" t="n">
        <f aca="false">F51/B51</f>
        <v>863.967741935484</v>
      </c>
      <c r="J51" s="17" t="n">
        <f aca="false">IF(C51=0,"",F51/C51)</f>
        <v>0.18007678291681</v>
      </c>
    </row>
    <row r="52" customFormat="false" ht="15" hidden="false" customHeight="false" outlineLevel="0" collapsed="false">
      <c r="A52" s="7" t="s">
        <v>126</v>
      </c>
      <c r="B52" s="7" t="n">
        <v>30</v>
      </c>
      <c r="C52" s="15" t="n">
        <v>126483</v>
      </c>
      <c r="D52" s="15" t="n">
        <v>62622</v>
      </c>
      <c r="E52" s="15" t="n">
        <v>37791</v>
      </c>
      <c r="F52" s="15" t="n">
        <v>26070</v>
      </c>
      <c r="G52" s="15" t="n">
        <v>0</v>
      </c>
      <c r="H52" s="16" t="n">
        <f aca="false">C52/B52</f>
        <v>4216.1</v>
      </c>
      <c r="I52" s="16" t="n">
        <f aca="false">F52/B52</f>
        <v>869</v>
      </c>
      <c r="J52" s="17" t="n">
        <f aca="false">IF(C52=0,"",F52/C52)</f>
        <v>0.206114655724485</v>
      </c>
    </row>
    <row r="53" customFormat="false" ht="15" hidden="false" customHeight="false" outlineLevel="0" collapsed="false">
      <c r="A53" s="7" t="s">
        <v>127</v>
      </c>
      <c r="B53" s="7" t="n">
        <v>31</v>
      </c>
      <c r="C53" s="15" t="n">
        <v>154690</v>
      </c>
      <c r="D53" s="15" t="n">
        <v>86684</v>
      </c>
      <c r="E53" s="15" t="n">
        <v>40279</v>
      </c>
      <c r="F53" s="15" t="n">
        <v>27727</v>
      </c>
      <c r="G53" s="15" t="n">
        <v>0</v>
      </c>
      <c r="H53" s="16" t="n">
        <f aca="false">C53/B53</f>
        <v>4990</v>
      </c>
      <c r="I53" s="16" t="n">
        <f aca="false">F53/B53</f>
        <v>894.41935483871</v>
      </c>
      <c r="J53" s="17" t="n">
        <f aca="false">IF(C53=0,"",F53/C53)</f>
        <v>0.1792423556791</v>
      </c>
    </row>
    <row r="54" customFormat="false" ht="15" hidden="false" customHeight="false" outlineLevel="0" collapsed="false">
      <c r="A54" s="7" t="s">
        <v>128</v>
      </c>
      <c r="B54" s="7" t="n">
        <v>30</v>
      </c>
      <c r="C54" s="15" t="n">
        <v>142060</v>
      </c>
      <c r="D54" s="15" t="n">
        <v>75042</v>
      </c>
      <c r="E54" s="15" t="n">
        <v>39430</v>
      </c>
      <c r="F54" s="15" t="n">
        <v>27588</v>
      </c>
      <c r="G54" s="15" t="n">
        <v>0</v>
      </c>
      <c r="H54" s="16" t="n">
        <f aca="false">C54/B54</f>
        <v>4735.33333333333</v>
      </c>
      <c r="I54" s="16" t="n">
        <f aca="false">F54/B54</f>
        <v>919.6</v>
      </c>
      <c r="J54" s="17" t="n">
        <f aca="false">IF(C54=0,"",F54/C54)</f>
        <v>0.194199633957483</v>
      </c>
    </row>
    <row r="55" customFormat="false" ht="15" hidden="false" customHeight="false" outlineLevel="0" collapsed="false">
      <c r="A55" s="7" t="s">
        <v>129</v>
      </c>
      <c r="B55" s="7" t="n">
        <v>31</v>
      </c>
      <c r="C55" s="15" t="n">
        <v>197407</v>
      </c>
      <c r="D55" s="15" t="n">
        <v>129853</v>
      </c>
      <c r="E55" s="15" t="n">
        <v>41089</v>
      </c>
      <c r="F55" s="15" t="n">
        <v>26465</v>
      </c>
      <c r="G55" s="15" t="n">
        <v>0</v>
      </c>
      <c r="H55" s="16" t="n">
        <f aca="false">C55/B55</f>
        <v>6367.96774193548</v>
      </c>
      <c r="I55" s="16" t="n">
        <f aca="false">F55/B55</f>
        <v>853.709677419355</v>
      </c>
      <c r="J55" s="17" t="n">
        <f aca="false">IF(C55=0,"",F55/C55)</f>
        <v>0.13406312846049</v>
      </c>
    </row>
    <row r="56" customFormat="false" ht="15" hidden="false" customHeight="false" outlineLevel="0" collapsed="false">
      <c r="A56" s="7" t="s">
        <v>130</v>
      </c>
      <c r="B56" s="7" t="n">
        <v>31</v>
      </c>
      <c r="C56" s="15" t="n">
        <v>206258</v>
      </c>
      <c r="D56" s="15" t="n">
        <v>139952</v>
      </c>
      <c r="E56" s="15" t="n">
        <v>39004</v>
      </c>
      <c r="F56" s="15" t="n">
        <v>27302</v>
      </c>
      <c r="G56" s="15" t="n">
        <v>0</v>
      </c>
      <c r="H56" s="16" t="n">
        <f aca="false">C56/B56</f>
        <v>6653.48387096774</v>
      </c>
      <c r="I56" s="16" t="n">
        <f aca="false">F56/B56</f>
        <v>880.709677419355</v>
      </c>
      <c r="J56" s="17" t="n">
        <f aca="false">IF(C56=0,"",F56/C56)</f>
        <v>0.132368199051673</v>
      </c>
    </row>
    <row r="57" customFormat="false" ht="15" hidden="false" customHeight="false" outlineLevel="0" collapsed="false">
      <c r="A57" s="7" t="s">
        <v>131</v>
      </c>
      <c r="B57" s="7" t="n">
        <v>28</v>
      </c>
      <c r="C57" s="15" t="n">
        <v>116707</v>
      </c>
      <c r="D57" s="15" t="n">
        <v>55260</v>
      </c>
      <c r="E57" s="15" t="n">
        <v>35814</v>
      </c>
      <c r="F57" s="15" t="n">
        <v>25633</v>
      </c>
      <c r="G57" s="15" t="n">
        <v>0</v>
      </c>
      <c r="H57" s="16" t="n">
        <f aca="false">C57/B57</f>
        <v>4168.10714285714</v>
      </c>
      <c r="I57" s="16" t="n">
        <f aca="false">F57/B57</f>
        <v>915.464285714286</v>
      </c>
      <c r="J57" s="17" t="n">
        <f aca="false">IF(C57=0,"",F57/C57)</f>
        <v>0.219635497442313</v>
      </c>
    </row>
    <row r="58" customFormat="false" ht="15" hidden="false" customHeight="false" outlineLevel="0" collapsed="false">
      <c r="A58" s="7" t="s">
        <v>132</v>
      </c>
      <c r="B58" s="7" t="n">
        <v>31</v>
      </c>
      <c r="C58" s="15" t="n">
        <v>145423</v>
      </c>
      <c r="D58" s="15" t="n">
        <v>77592</v>
      </c>
      <c r="E58" s="15" t="n">
        <v>39313</v>
      </c>
      <c r="F58" s="15" t="n">
        <v>28518</v>
      </c>
      <c r="G58" s="15" t="n">
        <v>0</v>
      </c>
      <c r="H58" s="16" t="n">
        <f aca="false">C58/B58</f>
        <v>4691.06451612903</v>
      </c>
      <c r="I58" s="16" t="n">
        <f aca="false">F58/B58</f>
        <v>919.935483870968</v>
      </c>
      <c r="J58" s="17" t="n">
        <f aca="false">IF(C58=0,"",F58/C58)</f>
        <v>0.196103780007289</v>
      </c>
    </row>
    <row r="59" customFormat="false" ht="15" hidden="false" customHeight="false" outlineLevel="0" collapsed="false">
      <c r="A59" s="7" t="s">
        <v>133</v>
      </c>
      <c r="B59" s="7" t="n">
        <v>30</v>
      </c>
      <c r="C59" s="15" t="n">
        <v>148484</v>
      </c>
      <c r="D59" s="15" t="n">
        <v>83811</v>
      </c>
      <c r="E59" s="15" t="n">
        <v>37433</v>
      </c>
      <c r="F59" s="15" t="n">
        <v>27240</v>
      </c>
      <c r="G59" s="15" t="n">
        <v>0</v>
      </c>
      <c r="H59" s="16" t="n">
        <f aca="false">C59/B59</f>
        <v>4949.46666666667</v>
      </c>
      <c r="I59" s="16" t="n">
        <f aca="false">F59/B59</f>
        <v>908</v>
      </c>
      <c r="J59" s="17" t="n">
        <f aca="false">IF(C59=0,"",F59/C59)</f>
        <v>0.183454109533687</v>
      </c>
    </row>
    <row r="60" customFormat="false" ht="15" hidden="false" customHeight="false" outlineLevel="0" collapsed="false">
      <c r="A60" s="7" t="s">
        <v>134</v>
      </c>
      <c r="B60" s="7" t="n">
        <v>31</v>
      </c>
      <c r="C60" s="15" t="n">
        <v>131942</v>
      </c>
      <c r="D60" s="15" t="n">
        <v>66756</v>
      </c>
      <c r="E60" s="15" t="n">
        <v>37489</v>
      </c>
      <c r="F60" s="15" t="n">
        <v>27697</v>
      </c>
      <c r="G60" s="15" t="n">
        <v>0</v>
      </c>
      <c r="H60" s="16" t="n">
        <f aca="false">C60/B60</f>
        <v>4256.1935483871</v>
      </c>
      <c r="I60" s="16" t="n">
        <f aca="false">F60/B60</f>
        <v>893.451612903226</v>
      </c>
      <c r="J60" s="17" t="n">
        <f aca="false">IF(C60=0,"",F60/C60)</f>
        <v>0.20991799427021</v>
      </c>
    </row>
    <row r="62" customFormat="false" ht="15" hidden="false" customHeight="false" outlineLevel="0" collapsed="false">
      <c r="A62" s="11" t="s">
        <v>135</v>
      </c>
      <c r="B62" s="11" t="n">
        <f aca="false">SUM(B49:B60)</f>
        <v>365</v>
      </c>
      <c r="C62" s="18" t="n">
        <f aca="false">SUM(C49:C60)</f>
        <v>1808176</v>
      </c>
      <c r="D62" s="18" t="n">
        <f aca="false">SUM(D49:D60)</f>
        <v>1022027</v>
      </c>
      <c r="E62" s="18" t="n">
        <f aca="false">SUM(E49:E60)</f>
        <v>462345</v>
      </c>
      <c r="F62" s="18" t="n">
        <f aca="false">SUM(F49:F60)</f>
        <v>323804</v>
      </c>
      <c r="G62" s="18" t="n">
        <f aca="false">SUM(G49:G60)</f>
        <v>0</v>
      </c>
      <c r="H62" s="18" t="n">
        <f aca="false">C62/B62</f>
        <v>4953.90684931507</v>
      </c>
      <c r="I62" s="18" t="n">
        <f aca="false">F62/B62</f>
        <v>887.134246575342</v>
      </c>
      <c r="J62" s="19" t="n">
        <f aca="false">F62/C62</f>
        <v>0.179077700400846</v>
      </c>
    </row>
    <row r="64" customFormat="false" ht="15" hidden="false" customHeight="false" outlineLevel="0" collapsed="false">
      <c r="A64" s="3" t="s">
        <v>136</v>
      </c>
    </row>
    <row r="65" customFormat="false" ht="15" hidden="false" customHeight="false" outlineLevel="0" collapsed="false">
      <c r="A65" s="3" t="s">
        <v>137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2" min="2" style="1" width="16"/>
    <col collapsed="false" customWidth="true" hidden="false" outlineLevel="0" max="3" min="3" style="1" width="8"/>
    <col collapsed="false" customWidth="true" hidden="false" outlineLevel="0" max="4" min="4" style="1" width="58"/>
  </cols>
  <sheetData>
    <row r="1" customFormat="false" ht="16.15" hidden="false" customHeight="false" outlineLevel="0" collapsed="false">
      <c r="A1" s="2" t="s">
        <v>138</v>
      </c>
    </row>
    <row r="2" customFormat="false" ht="15" hidden="false" customHeight="false" outlineLevel="0" collapsed="false">
      <c r="A2" s="3" t="s">
        <v>139</v>
      </c>
    </row>
    <row r="4" customFormat="false" ht="15" hidden="false" customHeight="false" outlineLevel="0" collapsed="false">
      <c r="A4" s="20" t="s">
        <v>140</v>
      </c>
    </row>
    <row r="5" customFormat="false" ht="15" hidden="false" customHeight="false" outlineLevel="0" collapsed="false">
      <c r="A5" s="21" t="s">
        <v>141</v>
      </c>
      <c r="B5" s="21" t="n">
        <f aca="false">Siniestros_ANSV!F12</f>
        <v>42</v>
      </c>
      <c r="C5" s="22" t="s">
        <v>12</v>
      </c>
    </row>
    <row r="6" customFormat="false" ht="15" hidden="false" customHeight="false" outlineLevel="0" collapsed="false">
      <c r="A6" s="21" t="s">
        <v>142</v>
      </c>
      <c r="B6" s="23" t="n">
        <v>5</v>
      </c>
      <c r="C6" s="22" t="s">
        <v>12</v>
      </c>
    </row>
    <row r="7" customFormat="false" ht="15" hidden="false" customHeight="false" outlineLevel="0" collapsed="false">
      <c r="A7" s="21" t="s">
        <v>143</v>
      </c>
      <c r="B7" s="24" t="n">
        <v>60</v>
      </c>
      <c r="C7" s="22" t="s">
        <v>144</v>
      </c>
    </row>
    <row r="8" customFormat="false" ht="15" hidden="false" customHeight="false" outlineLevel="0" collapsed="false">
      <c r="A8" s="21" t="s">
        <v>145</v>
      </c>
      <c r="B8" s="25" t="n">
        <v>3000</v>
      </c>
      <c r="C8" s="22" t="s">
        <v>144</v>
      </c>
    </row>
    <row r="9" customFormat="false" ht="15" hidden="false" customHeight="false" outlineLevel="0" collapsed="false">
      <c r="A9" s="21" t="s">
        <v>146</v>
      </c>
      <c r="B9" s="26" t="n">
        <f aca="false">Aforos_Cocora!H62</f>
        <v>4953.90684931507</v>
      </c>
      <c r="C9" s="22" t="s">
        <v>12</v>
      </c>
    </row>
    <row r="10" customFormat="false" ht="15" hidden="false" customHeight="false" outlineLevel="0" collapsed="false">
      <c r="A10" s="21" t="s">
        <v>147</v>
      </c>
      <c r="B10" s="26" t="n">
        <f aca="false">Aforos_Cocora!I62</f>
        <v>887.134246575342</v>
      </c>
      <c r="C10" s="22" t="s">
        <v>12</v>
      </c>
    </row>
    <row r="12" customFormat="false" ht="15" hidden="false" customHeight="false" outlineLevel="0" collapsed="false">
      <c r="A12" s="20" t="s">
        <v>148</v>
      </c>
    </row>
    <row r="13" customFormat="false" ht="15" hidden="false" customHeight="false" outlineLevel="0" collapsed="false">
      <c r="A13" s="21" t="s">
        <v>149</v>
      </c>
      <c r="B13" s="27" t="n">
        <f aca="false">B8*365*B7</f>
        <v>65700000</v>
      </c>
      <c r="D13" s="28" t="s">
        <v>150</v>
      </c>
    </row>
    <row r="14" customFormat="false" ht="15" hidden="false" customHeight="false" outlineLevel="0" collapsed="false">
      <c r="A14" s="21" t="s">
        <v>151</v>
      </c>
      <c r="B14" s="27" t="n">
        <f aca="false">B13*B6</f>
        <v>328500000</v>
      </c>
      <c r="D14" s="28" t="s">
        <v>152</v>
      </c>
    </row>
    <row r="15" customFormat="false" ht="22.35" hidden="false" customHeight="false" outlineLevel="0" collapsed="false">
      <c r="A15" s="21" t="s">
        <v>153</v>
      </c>
      <c r="B15" s="29" t="n">
        <f aca="false">B5/B14*100000000</f>
        <v>12.7853881278539</v>
      </c>
      <c r="D15" s="28" t="s">
        <v>154</v>
      </c>
    </row>
    <row r="16" customFormat="false" ht="15" hidden="false" customHeight="false" outlineLevel="0" collapsed="false">
      <c r="A16" s="21" t="s">
        <v>155</v>
      </c>
      <c r="B16" s="27" t="n">
        <f aca="false">B9*365*B7</f>
        <v>108490560</v>
      </c>
      <c r="D16" s="28" t="s">
        <v>156</v>
      </c>
    </row>
    <row r="17" customFormat="false" ht="15" hidden="false" customHeight="false" outlineLevel="0" collapsed="false">
      <c r="A17" s="21" t="s">
        <v>157</v>
      </c>
      <c r="B17" s="27" t="n">
        <f aca="false">B10*365*B7</f>
        <v>19428240</v>
      </c>
      <c r="D17" s="28" t="s">
        <v>158</v>
      </c>
    </row>
    <row r="18" customFormat="false" ht="15" hidden="false" customHeight="false" outlineLevel="0" collapsed="false">
      <c r="A18" s="21" t="s">
        <v>159</v>
      </c>
      <c r="B18" s="30" t="n">
        <f aca="false">B10/B9</f>
        <v>0.179077700400846</v>
      </c>
      <c r="D18" s="28" t="s">
        <v>160</v>
      </c>
    </row>
    <row r="19" customFormat="false" ht="15" hidden="false" customHeight="false" outlineLevel="0" collapsed="false">
      <c r="A19" s="21" t="s">
        <v>161</v>
      </c>
      <c r="B19" s="27" t="n">
        <f aca="false">B17*0.9</f>
        <v>17485416</v>
      </c>
      <c r="D19" s="28" t="s">
        <v>162</v>
      </c>
    </row>
    <row r="21" customFormat="false" ht="15" hidden="false" customHeight="false" outlineLevel="0" collapsed="false">
      <c r="A21" s="31" t="s">
        <v>163</v>
      </c>
    </row>
    <row r="22" customFormat="false" ht="15" hidden="false" customHeight="true" outlineLevel="0" collapsed="false">
      <c r="A22" s="32" t="s">
        <v>164</v>
      </c>
      <c r="B22" s="32"/>
      <c r="C22" s="32"/>
      <c r="D22" s="32"/>
    </row>
    <row r="23" customFormat="false" ht="15" hidden="false" customHeight="false" outlineLevel="0" collapsed="false">
      <c r="A23" s="32"/>
      <c r="B23" s="32"/>
      <c r="C23" s="32"/>
      <c r="D23" s="32"/>
    </row>
    <row r="24" customFormat="false" ht="15" hidden="false" customHeight="false" outlineLevel="0" collapsed="false">
      <c r="A24" s="32"/>
      <c r="B24" s="32"/>
      <c r="C24" s="32"/>
      <c r="D24" s="32"/>
    </row>
    <row r="25" customFormat="false" ht="15" hidden="false" customHeight="false" outlineLevel="0" collapsed="false">
      <c r="A25" s="32"/>
      <c r="B25" s="32"/>
      <c r="C25" s="32"/>
      <c r="D25" s="32"/>
    </row>
  </sheetData>
  <mergeCells count="1">
    <mergeCell ref="A22:D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7" min="2" style="1" width="12"/>
  </cols>
  <sheetData>
    <row r="1" customFormat="false" ht="16.15" hidden="false" customHeight="false" outlineLevel="0" collapsed="false">
      <c r="A1" s="2" t="s">
        <v>165</v>
      </c>
    </row>
    <row r="2" customFormat="false" ht="15" hidden="false" customHeight="false" outlineLevel="0" collapsed="false">
      <c r="A2" s="3" t="s">
        <v>166</v>
      </c>
    </row>
    <row r="4" customFormat="false" ht="15" hidden="false" customHeight="false" outlineLevel="0" collapsed="false">
      <c r="A4" s="33" t="s">
        <v>167</v>
      </c>
      <c r="B4" s="34" t="n">
        <v>40</v>
      </c>
      <c r="C4" s="34" t="n">
        <v>50</v>
      </c>
      <c r="D4" s="34" t="n">
        <v>60</v>
      </c>
      <c r="E4" s="34" t="n">
        <v>70</v>
      </c>
      <c r="F4" s="34" t="n">
        <v>80</v>
      </c>
      <c r="G4" s="34" t="n">
        <v>90</v>
      </c>
    </row>
    <row r="5" customFormat="false" ht="15" hidden="false" customHeight="false" outlineLevel="0" collapsed="false">
      <c r="A5" s="18" t="n">
        <v>2000</v>
      </c>
      <c r="B5" s="35" t="n">
        <f aca="false">Tasa_exposicion!$B$5/($A5*365*40*Tasa_exposicion!$B$6)*100000000</f>
        <v>28.7671232876712</v>
      </c>
      <c r="C5" s="35" t="n">
        <f aca="false">Tasa_exposicion!$B$5/($A5*365*50*Tasa_exposicion!$B$6)*100000000</f>
        <v>23.013698630137</v>
      </c>
      <c r="D5" s="35" t="n">
        <f aca="false">Tasa_exposicion!$B$5/($A5*365*60*Tasa_exposicion!$B$6)*100000000</f>
        <v>19.1780821917808</v>
      </c>
      <c r="E5" s="35" t="n">
        <f aca="false">Tasa_exposicion!$B$5/($A5*365*70*Tasa_exposicion!$B$6)*100000000</f>
        <v>16.4383561643836</v>
      </c>
      <c r="F5" s="35" t="n">
        <f aca="false">Tasa_exposicion!$B$5/($A5*365*80*Tasa_exposicion!$B$6)*100000000</f>
        <v>14.3835616438356</v>
      </c>
      <c r="G5" s="35" t="n">
        <f aca="false">Tasa_exposicion!$B$5/($A5*365*90*Tasa_exposicion!$B$6)*100000000</f>
        <v>12.7853881278539</v>
      </c>
    </row>
    <row r="6" customFormat="false" ht="15" hidden="false" customHeight="false" outlineLevel="0" collapsed="false">
      <c r="A6" s="18" t="n">
        <v>2500</v>
      </c>
      <c r="B6" s="35" t="n">
        <f aca="false">Tasa_exposicion!$B$5/($A6*365*40*Tasa_exposicion!$B$6)*100000000</f>
        <v>23.013698630137</v>
      </c>
      <c r="C6" s="35" t="n">
        <f aca="false">Tasa_exposicion!$B$5/($A6*365*50*Tasa_exposicion!$B$6)*100000000</f>
        <v>18.4109589041096</v>
      </c>
      <c r="D6" s="35" t="n">
        <f aca="false">Tasa_exposicion!$B$5/($A6*365*60*Tasa_exposicion!$B$6)*100000000</f>
        <v>15.3424657534247</v>
      </c>
      <c r="E6" s="35" t="n">
        <f aca="false">Tasa_exposicion!$B$5/($A6*365*70*Tasa_exposicion!$B$6)*100000000</f>
        <v>13.1506849315068</v>
      </c>
      <c r="F6" s="35" t="n">
        <f aca="false">Tasa_exposicion!$B$5/($A6*365*80*Tasa_exposicion!$B$6)*100000000</f>
        <v>11.5068493150685</v>
      </c>
      <c r="G6" s="35" t="n">
        <f aca="false">Tasa_exposicion!$B$5/($A6*365*90*Tasa_exposicion!$B$6)*100000000</f>
        <v>10.2283105022831</v>
      </c>
    </row>
    <row r="7" customFormat="false" ht="15" hidden="false" customHeight="false" outlineLevel="0" collapsed="false">
      <c r="A7" s="18" t="n">
        <v>3000</v>
      </c>
      <c r="B7" s="35" t="n">
        <f aca="false">Tasa_exposicion!$B$5/($A7*365*40*Tasa_exposicion!$B$6)*100000000</f>
        <v>19.1780821917808</v>
      </c>
      <c r="C7" s="35" t="n">
        <f aca="false">Tasa_exposicion!$B$5/($A7*365*50*Tasa_exposicion!$B$6)*100000000</f>
        <v>15.3424657534247</v>
      </c>
      <c r="D7" s="35" t="n">
        <f aca="false">Tasa_exposicion!$B$5/($A7*365*60*Tasa_exposicion!$B$6)*100000000</f>
        <v>12.7853881278539</v>
      </c>
      <c r="E7" s="35" t="n">
        <f aca="false">Tasa_exposicion!$B$5/($A7*365*70*Tasa_exposicion!$B$6)*100000000</f>
        <v>10.958904109589</v>
      </c>
      <c r="F7" s="35" t="n">
        <f aca="false">Tasa_exposicion!$B$5/($A7*365*80*Tasa_exposicion!$B$6)*100000000</f>
        <v>9.58904109589041</v>
      </c>
      <c r="G7" s="35" t="n">
        <f aca="false">Tasa_exposicion!$B$5/($A7*365*90*Tasa_exposicion!$B$6)*100000000</f>
        <v>8.52359208523592</v>
      </c>
    </row>
    <row r="8" customFormat="false" ht="15" hidden="false" customHeight="false" outlineLevel="0" collapsed="false">
      <c r="A8" s="18" t="n">
        <v>3500</v>
      </c>
      <c r="B8" s="35" t="n">
        <f aca="false">Tasa_exposicion!$B$5/($A8*365*40*Tasa_exposicion!$B$6)*100000000</f>
        <v>16.4383561643836</v>
      </c>
      <c r="C8" s="35" t="n">
        <f aca="false">Tasa_exposicion!$B$5/($A8*365*50*Tasa_exposicion!$B$6)*100000000</f>
        <v>13.1506849315068</v>
      </c>
      <c r="D8" s="35" t="n">
        <f aca="false">Tasa_exposicion!$B$5/($A8*365*60*Tasa_exposicion!$B$6)*100000000</f>
        <v>10.958904109589</v>
      </c>
      <c r="E8" s="35" t="n">
        <f aca="false">Tasa_exposicion!$B$5/($A8*365*70*Tasa_exposicion!$B$6)*100000000</f>
        <v>9.39334637964775</v>
      </c>
      <c r="F8" s="35" t="n">
        <f aca="false">Tasa_exposicion!$B$5/($A8*365*80*Tasa_exposicion!$B$6)*100000000</f>
        <v>8.21917808219178</v>
      </c>
      <c r="G8" s="35" t="n">
        <f aca="false">Tasa_exposicion!$B$5/($A8*365*90*Tasa_exposicion!$B$6)*100000000</f>
        <v>7.30593607305936</v>
      </c>
    </row>
    <row r="9" customFormat="false" ht="15" hidden="false" customHeight="false" outlineLevel="0" collapsed="false">
      <c r="A9" s="18" t="n">
        <v>4000</v>
      </c>
      <c r="B9" s="35" t="n">
        <f aca="false">Tasa_exposicion!$B$5/($A9*365*40*Tasa_exposicion!$B$6)*100000000</f>
        <v>14.3835616438356</v>
      </c>
      <c r="C9" s="35" t="n">
        <f aca="false">Tasa_exposicion!$B$5/($A9*365*50*Tasa_exposicion!$B$6)*100000000</f>
        <v>11.5068493150685</v>
      </c>
      <c r="D9" s="35" t="n">
        <f aca="false">Tasa_exposicion!$B$5/($A9*365*60*Tasa_exposicion!$B$6)*100000000</f>
        <v>9.58904109589041</v>
      </c>
      <c r="E9" s="35" t="n">
        <f aca="false">Tasa_exposicion!$B$5/($A9*365*70*Tasa_exposicion!$B$6)*100000000</f>
        <v>8.21917808219178</v>
      </c>
      <c r="F9" s="35" t="n">
        <f aca="false">Tasa_exposicion!$B$5/($A9*365*80*Tasa_exposicion!$B$6)*100000000</f>
        <v>7.19178082191781</v>
      </c>
      <c r="G9" s="35" t="n">
        <f aca="false">Tasa_exposicion!$B$5/($A9*365*90*Tasa_exposicion!$B$6)*100000000</f>
        <v>6.39269406392694</v>
      </c>
    </row>
    <row r="10" customFormat="false" ht="15" hidden="false" customHeight="false" outlineLevel="0" collapsed="false">
      <c r="A10" s="18" t="n">
        <v>4500</v>
      </c>
      <c r="B10" s="35" t="n">
        <f aca="false">Tasa_exposicion!$B$5/($A10*365*40*Tasa_exposicion!$B$6)*100000000</f>
        <v>12.7853881278539</v>
      </c>
      <c r="C10" s="35" t="n">
        <f aca="false">Tasa_exposicion!$B$5/($A10*365*50*Tasa_exposicion!$B$6)*100000000</f>
        <v>10.2283105022831</v>
      </c>
      <c r="D10" s="35" t="n">
        <f aca="false">Tasa_exposicion!$B$5/($A10*365*60*Tasa_exposicion!$B$6)*100000000</f>
        <v>8.52359208523592</v>
      </c>
      <c r="E10" s="35" t="n">
        <f aca="false">Tasa_exposicion!$B$5/($A10*365*70*Tasa_exposicion!$B$6)*100000000</f>
        <v>7.30593607305936</v>
      </c>
      <c r="F10" s="35" t="n">
        <f aca="false">Tasa_exposicion!$B$5/($A10*365*80*Tasa_exposicion!$B$6)*100000000</f>
        <v>6.39269406392694</v>
      </c>
      <c r="G10" s="35" t="n">
        <f aca="false">Tasa_exposicion!$B$5/($A10*365*90*Tasa_exposicion!$B$6)*100000000</f>
        <v>5.68239472349061</v>
      </c>
    </row>
    <row r="11" customFormat="false" ht="15" hidden="false" customHeight="false" outlineLevel="0" collapsed="false">
      <c r="A11" s="18" t="n">
        <v>5000</v>
      </c>
      <c r="B11" s="35" t="n">
        <f aca="false">Tasa_exposicion!$B$5/($A11*365*40*Tasa_exposicion!$B$6)*100000000</f>
        <v>11.5068493150685</v>
      </c>
      <c r="C11" s="35" t="n">
        <f aca="false">Tasa_exposicion!$B$5/($A11*365*50*Tasa_exposicion!$B$6)*100000000</f>
        <v>9.20547945205479</v>
      </c>
      <c r="D11" s="35" t="n">
        <f aca="false">Tasa_exposicion!$B$5/($A11*365*60*Tasa_exposicion!$B$6)*100000000</f>
        <v>7.67123287671233</v>
      </c>
      <c r="E11" s="35" t="n">
        <f aca="false">Tasa_exposicion!$B$5/($A11*365*70*Tasa_exposicion!$B$6)*100000000</f>
        <v>6.57534246575342</v>
      </c>
      <c r="F11" s="35" t="n">
        <f aca="false">Tasa_exposicion!$B$5/($A11*365*80*Tasa_exposicion!$B$6)*100000000</f>
        <v>5.75342465753425</v>
      </c>
      <c r="G11" s="35" t="n">
        <f aca="false">Tasa_exposicion!$B$5/($A11*365*90*Tasa_exposicion!$B$6)*100000000</f>
        <v>5.11415525114155</v>
      </c>
    </row>
    <row r="13" customFormat="false" ht="15" hidden="false" customHeight="false" outlineLevel="0" collapsed="false">
      <c r="A13" s="3" t="s">
        <v>168</v>
      </c>
    </row>
    <row r="14" customFormat="false" ht="15" hidden="false" customHeight="false" outlineLevel="0" collapsed="false">
      <c r="A14" s="3" t="s">
        <v>169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2026-09-02T19:43:26Z</dcterms:created>
  <dc:creator>openpyxl</dc:creator>
  <dc:description/>
  <dc:language>en-US</dc:language>
  <cp:lastModifiedBy/>
  <dcterms:modified xsi:type="dcterms:W3CDTF">2026-09-02T19:43:26Z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