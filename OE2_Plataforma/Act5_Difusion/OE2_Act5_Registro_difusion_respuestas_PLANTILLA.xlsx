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Difusion" sheetId="2" state="visible" r:id="rId4"/>
    <sheet name="Respuestas" sheetId="3" state="visible" r:id="rId5"/>
    <sheet name="Resumen" sheetId="4" state="visible" r:id="rId6"/>
    <sheet name="Instrucci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<sst xmlns="http://schemas.openxmlformats.org/spreadsheetml/2006/main" count="128" uniqueCount="120">
  <si>
    <t xml:space="preserve">Tabla 1. Registro de difusión y respuestas — OE 2, Actividad 5</t>
  </si>
  <si>
    <t xml:space="preserve">Semillero de Investigación GEOPAV · Universidad de Ibagué · Semestre Paz y Región 2026B</t>
  </si>
  <si>
    <t xml:space="preserve">Campo</t>
  </si>
  <si>
    <t xml:space="preserve">Valor</t>
  </si>
  <si>
    <t xml:space="preserve">Objetivo específico</t>
  </si>
  <si>
    <t xml:space="preserve">OE 2 — Plataforma web geoespacial y consulta ciudadana</t>
  </si>
  <si>
    <t xml:space="preserve">Actividad</t>
  </si>
  <si>
    <t xml:space="preserve">Act 5. Difusión del instrumento y apertura de la ventana de recolección de respuestas</t>
  </si>
  <si>
    <t xml:space="preserve">Entregable / formato</t>
  </si>
  <si>
    <t xml:space="preserve">Registro de difusión y respuestas · Archivo Excel</t>
  </si>
  <si>
    <t xml:space="preserve">Periodo en el Plan de Acción</t>
  </si>
  <si>
    <t xml:space="preserve">29 sep 2026 – 3 oct 2026</t>
  </si>
  <si>
    <t xml:space="preserve">Enlace de la consulta</t>
  </si>
  <si>
    <t xml:space="preserve">https://ferropista.vercel.app/consulta</t>
  </si>
  <si>
    <t xml:space="preserve">Versión del instrumento</t>
  </si>
  <si>
    <t xml:space="preserve">borrador-geopav-2026-09</t>
  </si>
  <si>
    <t xml:space="preserve">Responsable asignado</t>
  </si>
  <si>
    <t xml:space="preserve">Torrente Parra Daniel Ignacio</t>
  </si>
  <si>
    <t xml:space="preserve">Apoyo en la ejecución</t>
  </si>
  <si>
    <t xml:space="preserve">Tamayo Osorio Miguel Ángel</t>
  </si>
  <si>
    <t xml:space="preserve">Estado</t>
  </si>
  <si>
    <t xml:space="preserve">EN CURSO — plantilla preparada el 16 sep 2026; sin difusión registrada todavía</t>
  </si>
  <si>
    <t xml:space="preserve">Índice de hojas (anexos)</t>
  </si>
  <si>
    <t xml:space="preserve">Difusion</t>
  </si>
  <si>
    <t xml:space="preserve">Tabla 2. Registro de cada publicación del enlace</t>
  </si>
  <si>
    <t xml:space="preserve">Respuestas</t>
  </si>
  <si>
    <t xml:space="preserve">Tabla 3. Exportación de la tabla consulta_oe2 desde Supabase</t>
  </si>
  <si>
    <t xml:space="preserve">Resumen</t>
  </si>
  <si>
    <t xml:space="preserve">Tabla 4. Corte de respuestas calculado con fórmulas</t>
  </si>
  <si>
    <t xml:space="preserve">Instrucciones</t>
  </si>
  <si>
    <t xml:space="preserve">Tabla 5. Cómo diligenciar este archivo</t>
  </si>
  <si>
    <t xml:space="preserve">Fuente: elaboración propia del semillero. Plantilla preparada con apoyo de un asistente de IA (Claude, de Anthropic).</t>
  </si>
  <si>
    <t xml:space="preserve">Tabla 2. Registro de difusión del instrumento</t>
  </si>
  <si>
    <t xml:space="preserve">Una fila por cada publicación del enlace. La evidencia es la captura guardada en la carpeta de Drive de la Act 5.</t>
  </si>
  <si>
    <t xml:space="preserve">N°</t>
  </si>
  <si>
    <t xml:space="preserve">Fecha</t>
  </si>
  <si>
    <t xml:space="preserve">Canal</t>
  </si>
  <si>
    <t xml:space="preserve">Grupo, página o destinatario</t>
  </si>
  <si>
    <t xml:space="preserve">Público al que llega</t>
  </si>
  <si>
    <t xml:space="preserve">Municipio objetivo</t>
  </si>
  <si>
    <t xml:space="preserve">Responsable</t>
  </si>
  <si>
    <t xml:space="preserve">Nombre del archivo de evidencia (captura)</t>
  </si>
  <si>
    <t xml:space="preserve">Observaciones</t>
  </si>
  <si>
    <t xml:space="preserve">Tabla 3. Respuestas exportadas de Supabase (tabla consulta_oe2)</t>
  </si>
  <si>
    <t xml:space="preserve">Pegar aquí, desde la fila 7, el CSV exportado sin filas PRUEBA_TECNICA. No editar las respuestas.</t>
  </si>
  <si>
    <t xml:space="preserve">id</t>
  </si>
  <si>
    <t xml:space="preserve">creado_en</t>
  </si>
  <si>
    <t xml:space="preserve">consentimiento</t>
  </si>
  <si>
    <t xml:space="preserve">instrumento_version</t>
  </si>
  <si>
    <t xml:space="preserve">perfil</t>
  </si>
  <si>
    <t xml:space="preserve">municipio</t>
  </si>
  <si>
    <t xml:space="preserve">frecuencia</t>
  </si>
  <si>
    <t xml:space="preserve">franja</t>
  </si>
  <si>
    <t xml:space="preserve">riesgo_1a5</t>
  </si>
  <si>
    <t xml:space="preserve">sectores</t>
  </si>
  <si>
    <t xml:space="preserve">causas</t>
  </si>
  <si>
    <t xml:space="preserve">accidente</t>
  </si>
  <si>
    <t xml:space="preserve">cambio_5a</t>
  </si>
  <si>
    <t xml:space="preserve">tiempo_cruce</t>
  </si>
  <si>
    <t xml:space="preserve">impredecible_1a5</t>
  </si>
  <si>
    <t xml:space="preserve">afectacion</t>
  </si>
  <si>
    <t xml:space="preserve">conocia</t>
  </si>
  <si>
    <t xml:space="preserve">efecto_esperado</t>
  </si>
  <si>
    <t xml:space="preserve">preocupacion</t>
  </si>
  <si>
    <t xml:space="preserve">comentario</t>
  </si>
  <si>
    <t xml:space="preserve">Tabla 4. Corte de respuestas</t>
  </si>
  <si>
    <t xml:space="preserve">Se calcula solo con lo pegado en la hoja Respuestas. Fecha del corte: diligenciar en C6.</t>
  </si>
  <si>
    <t xml:space="preserve">Fecha del corte</t>
  </si>
  <si>
    <t xml:space="preserve">Totales</t>
  </si>
  <si>
    <t xml:space="preserve">Respuestas válidas</t>
  </si>
  <si>
    <t xml:space="preserve">Con versión borrador-geopav-2026-09</t>
  </si>
  <si>
    <t xml:space="preserve">Con otra versión</t>
  </si>
  <si>
    <t xml:space="preserve">Riesgo percibido promedio (1 a 5)</t>
  </si>
  <si>
    <t xml:space="preserve">Publicaciones de difusión registradas</t>
  </si>
  <si>
    <t xml:space="preserve">Por perfil</t>
  </si>
  <si>
    <t xml:space="preserve">Perfil</t>
  </si>
  <si>
    <t xml:space="preserve">Código</t>
  </si>
  <si>
    <t xml:space="preserve">% del total</t>
  </si>
  <si>
    <t xml:space="preserve">Conductor de carga pesada</t>
  </si>
  <si>
    <t xml:space="preserve">carga</t>
  </si>
  <si>
    <t xml:space="preserve">Conductor de transporte de pasajeros</t>
  </si>
  <si>
    <t xml:space="preserve">pasajeros</t>
  </si>
  <si>
    <t xml:space="preserve">Conductor particular</t>
  </si>
  <si>
    <t xml:space="preserve">particular</t>
  </si>
  <si>
    <t xml:space="preserve">Habitante de la zona</t>
  </si>
  <si>
    <t xml:space="preserve">habitante</t>
  </si>
  <si>
    <t xml:space="preserve">Otro</t>
  </si>
  <si>
    <t xml:space="preserve">otro</t>
  </si>
  <si>
    <t xml:space="preserve">Por municipio</t>
  </si>
  <si>
    <t xml:space="preserve">Municipio</t>
  </si>
  <si>
    <t xml:space="preserve">Ibagué</t>
  </si>
  <si>
    <t xml:space="preserve">ibague</t>
  </si>
  <si>
    <t xml:space="preserve">Coello</t>
  </si>
  <si>
    <t xml:space="preserve">coello</t>
  </si>
  <si>
    <t xml:space="preserve">Cajamarca</t>
  </si>
  <si>
    <t xml:space="preserve">cajamarca</t>
  </si>
  <si>
    <t xml:space="preserve">Calarcá</t>
  </si>
  <si>
    <t xml:space="preserve">calarca</t>
  </si>
  <si>
    <t xml:space="preserve">Otro del Tolima</t>
  </si>
  <si>
    <t xml:space="preserve">otro_tolima</t>
  </si>
  <si>
    <t xml:space="preserve">Otro del Quindío</t>
  </si>
  <si>
    <t xml:space="preserve">otro_quindio</t>
  </si>
  <si>
    <t xml:space="preserve">Fuera de ambos departamentos</t>
  </si>
  <si>
    <t xml:space="preserve">fuera</t>
  </si>
  <si>
    <t xml:space="preserve">Por valoración de riesgo</t>
  </si>
  <si>
    <t xml:space="preserve">Valoración</t>
  </si>
  <si>
    <t xml:space="preserve">1 · nada riesgoso</t>
  </si>
  <si>
    <t xml:space="preserve">2</t>
  </si>
  <si>
    <t xml:space="preserve">3</t>
  </si>
  <si>
    <t xml:space="preserve">4</t>
  </si>
  <si>
    <t xml:space="preserve">5 · extremadamente riesgoso</t>
  </si>
  <si>
    <t xml:space="preserve">Nota: la muestra no es probabilística; describe a quienes respondieron.</t>
  </si>
  <si>
    <t xml:space="preserve">Paso</t>
  </si>
  <si>
    <t xml:space="preserve">Instrucción</t>
  </si>
  <si>
    <t xml:space="preserve">Cada vez que se publique el enlace, agregar una fila en la hoja Difusion y guardar la captura en la carpeta de Drive Act5_Difusion con el nombre indicado en la columna H.</t>
  </si>
  <si>
    <t xml:space="preserve">Al cierre de la ventana (3 oct 2026), en Supabase: Table Editor &gt; consulta_oe2 &gt; Export &gt; CSV.</t>
  </si>
  <si>
    <t xml:space="preserve">Antes de pegar, eliminar del CSV cualquier fila con perfil PRUEBA_TECNICA.</t>
  </si>
  <si>
    <t xml:space="preserve">Pegar el CSV en la hoja Respuestas desde la celda A7, respetando el orden de columnas.</t>
  </si>
  <si>
    <t xml:space="preserve">Escribir la fecha del corte en Resumen!C6 y revisar que Respuestas válidas coincida con el número de filas pegadas.</t>
  </si>
  <si>
    <t xml:space="preserve">Guardar como OE2_Act5_Registro_difusion_respuestas_&lt;fecha&gt;.xlsx y subirlo a la carpeta de Drive de la Act 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</si>
</sst>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8E2C"/>
      <name val="Calibri"/>
      <family val="0"/>
      <charset val="1"/>
    </font>
    <font>
      <i val="true"/>
      <sz val="10"/>
      <color rgb="FF4A556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193F77"/>
      <name val="Calibri"/>
      <family val="0"/>
      <charset val="1"/>
    </font>
    <font>
      <i val="true"/>
      <sz val="9"/>
      <color rgb="FF4A556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93F77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93F77"/>
        <bgColor rgb="FF333399"/>
      </patternFill>
    </fill>
    <fill>
      <patternFill patternType="solid">
        <fgColor rgb="FFF1F7F2"/>
        <bgColor rgb="FFFFF7E0"/>
      </patternFill>
    </fill>
    <fill>
      <patternFill patternType="solid">
        <fgColor rgb="FFFFF7E0"/>
        <bgColor rgb="FFF1F7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78E2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0"/>
      <rgbColor rgb="FFF1F7F2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193F7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502560</xdr:colOff>
      <xdr:row>2</xdr:row>
      <xdr:rowOff>9000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4760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4</xdr:col>
      <xdr:colOff>54720</xdr:colOff>
      <xdr:row>2</xdr:row>
      <xdr:rowOff>9000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8223840" y="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150120</xdr:colOff>
      <xdr:row>2</xdr:row>
      <xdr:rowOff>9000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24760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666360</xdr:colOff>
      <xdr:row>2</xdr:row>
      <xdr:rowOff>9000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11489040" y="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79560</xdr:colOff>
      <xdr:row>2</xdr:row>
      <xdr:rowOff>9000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24760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666360</xdr:colOff>
      <xdr:row>2</xdr:row>
      <xdr:rowOff>9000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18608040" y="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2476080</xdr:colOff>
      <xdr:row>2</xdr:row>
      <xdr:rowOff>9000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0"/>
          <a:ext cx="24760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666360</xdr:colOff>
      <xdr:row>2</xdr:row>
      <xdr:rowOff>9000</xdr:rowOff>
    </xdr:to>
    <xdr:pic>
      <xdr:nvPicPr>
        <xdr:cNvPr id="7" name="Image 2" descr="Picture"/>
        <xdr:cNvPicPr/>
      </xdr:nvPicPr>
      <xdr:blipFill>
        <a:blip r:embed="rId2"/>
        <a:stretch/>
      </xdr:blipFill>
      <xdr:spPr>
        <a:xfrm>
          <a:off x="4793040" y="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1912320</xdr:colOff>
      <xdr:row>2</xdr:row>
      <xdr:rowOff>9000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0"/>
          <a:ext cx="24760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666360</xdr:colOff>
      <xdr:row>2</xdr:row>
      <xdr:rowOff>9000</xdr:rowOff>
    </xdr:to>
    <xdr:pic>
      <xdr:nvPicPr>
        <xdr:cNvPr id="9" name="Image 2" descr="Picture"/>
        <xdr:cNvPicPr/>
      </xdr:nvPicPr>
      <xdr:blipFill>
        <a:blip r:embed="rId2"/>
        <a:stretch/>
      </xdr:blipFill>
      <xdr:spPr>
        <a:xfrm>
          <a:off x="563760" y="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42" hidden="false" customHeight="true" outlineLevel="0" collapsed="false"/>
    <row r="2" customFormat="false" ht="9.75" hidden="false" customHeight="true" outlineLevel="0" collapsed="false"/>
    <row r="3" customFormat="false" ht="18.55" hidden="false" customHeight="false" outlineLevel="0" collapsed="false">
      <c r="A3" s="1" t="s">
        <v>0</v>
      </c>
    </row>
    <row r="4" customFormat="false" ht="15" hidden="false" customHeight="false" outlineLevel="0" collapsed="false">
      <c r="A4" s="2" t="s">
        <v>1</v>
      </c>
    </row>
    <row r="6" customFormat="false" ht="15" hidden="false" customHeight="false" outlineLevel="0" collapsed="false">
      <c r="A6" s="3" t="s">
        <v>2</v>
      </c>
      <c r="B6" s="3" t="s">
        <v>3</v>
      </c>
    </row>
    <row r="7" customFormat="false" ht="15" hidden="false" customHeight="false" outlineLevel="0" collapsed="false">
      <c r="A7" s="4" t="s">
        <v>4</v>
      </c>
      <c r="B7" s="5" t="s">
        <v>5</v>
      </c>
    </row>
    <row r="8" customFormat="false" ht="15" hidden="false" customHeight="false" outlineLevel="0" collapsed="false">
      <c r="A8" s="4" t="s">
        <v>6</v>
      </c>
      <c r="B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</row>
    <row r="10" customFormat="false" ht="15" hidden="false" customHeight="false" outlineLevel="0" collapsed="false">
      <c r="A10" s="4" t="s">
        <v>10</v>
      </c>
      <c r="B10" s="5" t="s">
        <v>11</v>
      </c>
    </row>
    <row r="11" customFormat="false" ht="1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8" customFormat="false" ht="15" hidden="false" customHeight="false" outlineLevel="0" collapsed="false">
      <c r="A18" s="6" t="s">
        <v>22</v>
      </c>
    </row>
    <row r="19" customFormat="false" ht="15" hidden="false" customHeight="false" outlineLevel="0" collapsed="false">
      <c r="A19" s="7" t="s">
        <v>23</v>
      </c>
      <c r="B19" s="8" t="s">
        <v>24</v>
      </c>
    </row>
    <row r="20" customFormat="false" ht="15" hidden="false" customHeight="false" outlineLevel="0" collapsed="false">
      <c r="A20" s="7" t="s">
        <v>25</v>
      </c>
      <c r="B20" s="8" t="s">
        <v>26</v>
      </c>
    </row>
    <row r="21" customFormat="false" ht="15" hidden="false" customHeight="false" outlineLevel="0" collapsed="false">
      <c r="A21" s="7" t="s">
        <v>27</v>
      </c>
      <c r="B21" s="8" t="s">
        <v>28</v>
      </c>
    </row>
    <row r="22" customFormat="false" ht="15" hidden="false" customHeight="false" outlineLevel="0" collapsed="false">
      <c r="A22" s="7" t="s">
        <v>29</v>
      </c>
      <c r="B22" s="8" t="s">
        <v>30</v>
      </c>
    </row>
    <row r="24" customFormat="false" ht="15" hidden="false" customHeight="false" outlineLevel="0" collapsed="false">
      <c r="A24" s="9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30"/>
  </cols>
  <sheetData>
    <row r="1" customFormat="false" ht="42" hidden="false" customHeight="true" outlineLevel="0" collapsed="false"/>
    <row r="2" customFormat="false" ht="9.75" hidden="false" customHeight="true" outlineLevel="0" collapsed="false"/>
    <row r="3" customFormat="false" ht="18.55" hidden="false" customHeight="false" outlineLevel="0" collapsed="false">
      <c r="A3" s="1" t="s">
        <v>32</v>
      </c>
    </row>
    <row r="4" customFormat="false" ht="15" hidden="false" customHeight="false" outlineLevel="0" collapsed="false">
      <c r="A4" s="2" t="s">
        <v>33</v>
      </c>
    </row>
    <row r="6" customFormat="false" ht="31.5" hidden="false" customHeight="true" outlineLevel="0" collapsed="false">
      <c r="A6" s="10" t="s">
        <v>34</v>
      </c>
      <c r="B6" s="10" t="s">
        <v>35</v>
      </c>
      <c r="C6" s="10" t="s">
        <v>36</v>
      </c>
      <c r="D6" s="10" t="s">
        <v>37</v>
      </c>
      <c r="E6" s="10" t="s">
        <v>38</v>
      </c>
      <c r="F6" s="10" t="s">
        <v>39</v>
      </c>
      <c r="G6" s="10" t="s">
        <v>40</v>
      </c>
      <c r="H6" s="10" t="s">
        <v>41</v>
      </c>
      <c r="I6" s="10" t="s">
        <v>42</v>
      </c>
    </row>
    <row r="7" customFormat="false" ht="15" hidden="false" customHeight="false" outlineLevel="0" collapsed="false">
      <c r="A7" s="11" t="str">
        <f aca="false">IF(B7="","",ROW()-6)</f>
        <v/>
      </c>
      <c r="B7" s="12"/>
      <c r="C7" s="11"/>
      <c r="D7" s="11"/>
      <c r="E7" s="11"/>
      <c r="F7" s="11"/>
      <c r="G7" s="11"/>
      <c r="H7" s="11"/>
      <c r="I7" s="11"/>
    </row>
    <row r="8" customFormat="false" ht="15" hidden="false" customHeight="false" outlineLevel="0" collapsed="false">
      <c r="A8" s="13" t="str">
        <f aca="false">IF(B8="","",ROW()-6)</f>
        <v/>
      </c>
      <c r="B8" s="14"/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1" t="str">
        <f aca="false">IF(B9="","",ROW()-6)</f>
        <v/>
      </c>
      <c r="B9" s="12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13" t="str">
        <f aca="false">IF(B10="","",ROW()-6)</f>
        <v/>
      </c>
      <c r="B10" s="14"/>
      <c r="C10" s="13"/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1" t="str">
        <f aca="false">IF(B11="","",ROW()-6)</f>
        <v/>
      </c>
      <c r="B11" s="12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13" t="str">
        <f aca="false">IF(B12="","",ROW()-6)</f>
        <v/>
      </c>
      <c r="B12" s="14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1" t="str">
        <f aca="false">IF(B13="","",ROW()-6)</f>
        <v/>
      </c>
      <c r="B13" s="12"/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13" t="str">
        <f aca="false">IF(B14="","",ROW()-6)</f>
        <v/>
      </c>
      <c r="B14" s="14"/>
      <c r="C14" s="13"/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11" t="str">
        <f aca="false">IF(B15="","",ROW()-6)</f>
        <v/>
      </c>
      <c r="B15" s="12"/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13" t="str">
        <f aca="false">IF(B16="","",ROW()-6)</f>
        <v/>
      </c>
      <c r="B16" s="14"/>
      <c r="C16" s="13"/>
      <c r="D16" s="13"/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11" t="str">
        <f aca="false">IF(B17="","",ROW()-6)</f>
        <v/>
      </c>
      <c r="B17" s="12"/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13" t="str">
        <f aca="false">IF(B18="","",ROW()-6)</f>
        <v/>
      </c>
      <c r="B18" s="14"/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1" t="str">
        <f aca="false">IF(B19="","",ROW()-6)</f>
        <v/>
      </c>
      <c r="B19" s="12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3" t="str">
        <f aca="false">IF(B20="","",ROW()-6)</f>
        <v/>
      </c>
      <c r="B20" s="14"/>
      <c r="C20" s="13"/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1" t="str">
        <f aca="false">IF(B21="","",ROW()-6)</f>
        <v/>
      </c>
      <c r="B21" s="12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13" t="str">
        <f aca="false">IF(B22="","",ROW()-6)</f>
        <v/>
      </c>
      <c r="B22" s="14"/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1" t="str">
        <f aca="false">IF(B23="","",ROW()-6)</f>
        <v/>
      </c>
      <c r="B23" s="12"/>
      <c r="C23" s="11"/>
      <c r="D23" s="11"/>
      <c r="E23" s="11"/>
      <c r="F23" s="11"/>
      <c r="G23" s="11"/>
      <c r="H23" s="11"/>
      <c r="I23" s="11"/>
    </row>
    <row r="24" customFormat="false" ht="15" hidden="false" customHeight="false" outlineLevel="0" collapsed="false">
      <c r="A24" s="13" t="str">
        <f aca="false">IF(B24="","",ROW()-6)</f>
        <v/>
      </c>
      <c r="B24" s="14"/>
      <c r="C24" s="13"/>
      <c r="D24" s="13"/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11" t="str">
        <f aca="false">IF(B25="","",ROW()-6)</f>
        <v/>
      </c>
      <c r="B25" s="12"/>
      <c r="C25" s="11"/>
      <c r="D25" s="11"/>
      <c r="E25" s="11"/>
      <c r="F25" s="11"/>
      <c r="G25" s="11"/>
      <c r="H25" s="11"/>
      <c r="I25" s="11"/>
    </row>
    <row r="26" customFormat="false" ht="15" hidden="false" customHeight="false" outlineLevel="0" collapsed="false">
      <c r="A26" s="13" t="str">
        <f aca="false">IF(B26="","",ROW()-6)</f>
        <v/>
      </c>
      <c r="B26" s="14"/>
      <c r="C26" s="13"/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1" t="str">
        <f aca="false">IF(B27="","",ROW()-6)</f>
        <v/>
      </c>
      <c r="B27" s="12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13" t="str">
        <f aca="false">IF(B28="","",ROW()-6)</f>
        <v/>
      </c>
      <c r="B28" s="14"/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1" t="str">
        <f aca="false">IF(B29="","",ROW()-6)</f>
        <v/>
      </c>
      <c r="B29" s="12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13" t="str">
        <f aca="false">IF(B30="","",ROW()-6)</f>
        <v/>
      </c>
      <c r="B30" s="14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1" t="str">
        <f aca="false">IF(B31="","",ROW()-6)</f>
        <v/>
      </c>
      <c r="B31" s="12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13" t="str">
        <f aca="false">IF(B32="","",ROW()-6)</f>
        <v/>
      </c>
      <c r="B32" s="14"/>
      <c r="C32" s="13"/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1" t="str">
        <f aca="false">IF(B33="","",ROW()-6)</f>
        <v/>
      </c>
      <c r="B33" s="12"/>
      <c r="C33" s="11"/>
      <c r="D33" s="11"/>
      <c r="E33" s="11"/>
      <c r="F33" s="11"/>
      <c r="G33" s="11"/>
      <c r="H33" s="11"/>
      <c r="I33" s="11"/>
    </row>
    <row r="34" customFormat="false" ht="15" hidden="false" customHeight="false" outlineLevel="0" collapsed="false">
      <c r="A34" s="13" t="str">
        <f aca="false">IF(B34="","",ROW()-6)</f>
        <v/>
      </c>
      <c r="B34" s="14"/>
      <c r="C34" s="13"/>
      <c r="D34" s="13"/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1" t="str">
        <f aca="false">IF(B35="","",ROW()-6)</f>
        <v/>
      </c>
      <c r="B35" s="12"/>
      <c r="C35" s="11"/>
      <c r="D35" s="11"/>
      <c r="E35" s="11"/>
      <c r="F35" s="11"/>
      <c r="G35" s="11"/>
      <c r="H35" s="11"/>
      <c r="I35" s="11"/>
    </row>
    <row r="36" customFormat="false" ht="15" hidden="false" customHeight="false" outlineLevel="0" collapsed="false">
      <c r="A36" s="13" t="str">
        <f aca="false">IF(B36="","",ROW()-6)</f>
        <v/>
      </c>
      <c r="B36" s="14"/>
      <c r="C36" s="13"/>
      <c r="D36" s="13"/>
      <c r="E36" s="13"/>
      <c r="F36" s="13"/>
      <c r="G36" s="13"/>
      <c r="H36" s="13"/>
      <c r="I36" s="13"/>
    </row>
    <row r="37" customFormat="false" ht="15" hidden="false" customHeight="false" outlineLevel="0" collapsed="false">
      <c r="A37" s="11" t="str">
        <f aca="false">IF(B37="","",ROW()-6)</f>
        <v/>
      </c>
      <c r="B37" s="12"/>
      <c r="C37" s="11"/>
      <c r="D37" s="11"/>
      <c r="E37" s="11"/>
      <c r="F37" s="11"/>
      <c r="G37" s="11"/>
      <c r="H37" s="11"/>
      <c r="I37" s="11"/>
    </row>
    <row r="38" customFormat="false" ht="15" hidden="false" customHeight="false" outlineLevel="0" collapsed="false">
      <c r="A38" s="13" t="str">
        <f aca="false">IF(B38="","",ROW()-6)</f>
        <v/>
      </c>
      <c r="B38" s="14"/>
      <c r="C38" s="13"/>
      <c r="D38" s="13"/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1" t="str">
        <f aca="false">IF(B39="","",ROW()-6)</f>
        <v/>
      </c>
      <c r="B39" s="12"/>
      <c r="C39" s="11"/>
      <c r="D39" s="11"/>
      <c r="E39" s="11"/>
      <c r="F39" s="11"/>
      <c r="G39" s="11"/>
      <c r="H39" s="11"/>
      <c r="I39" s="11"/>
    </row>
    <row r="40" customFormat="false" ht="15" hidden="false" customHeight="false" outlineLevel="0" collapsed="false">
      <c r="A40" s="13" t="str">
        <f aca="false">IF(B40="","",ROW()-6)</f>
        <v/>
      </c>
      <c r="B40" s="14"/>
      <c r="C40" s="13"/>
      <c r="D40" s="13"/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1" t="str">
        <f aca="false">IF(B41="","",ROW()-6)</f>
        <v/>
      </c>
      <c r="B41" s="12"/>
      <c r="C41" s="11"/>
      <c r="D41" s="11"/>
      <c r="E41" s="11"/>
      <c r="F41" s="11"/>
      <c r="G41" s="11"/>
      <c r="H41" s="11"/>
      <c r="I41" s="11"/>
    </row>
    <row r="42" customFormat="false" ht="15" hidden="false" customHeight="false" outlineLevel="0" collapsed="false">
      <c r="A42" s="13" t="str">
        <f aca="false">IF(B42="","",ROW()-6)</f>
        <v/>
      </c>
      <c r="B42" s="14"/>
      <c r="C42" s="13"/>
      <c r="D42" s="13"/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1" t="str">
        <f aca="false">IF(B43="","",ROW()-6)</f>
        <v/>
      </c>
      <c r="B43" s="12"/>
      <c r="C43" s="11"/>
      <c r="D43" s="11"/>
      <c r="E43" s="11"/>
      <c r="F43" s="11"/>
      <c r="G43" s="11"/>
      <c r="H43" s="11"/>
      <c r="I43" s="11"/>
    </row>
    <row r="44" customFormat="false" ht="15" hidden="false" customHeight="false" outlineLevel="0" collapsed="false">
      <c r="A44" s="13" t="str">
        <f aca="false">IF(B44="","",ROW()-6)</f>
        <v/>
      </c>
      <c r="B44" s="14"/>
      <c r="C44" s="13"/>
      <c r="D44" s="13"/>
      <c r="E44" s="13"/>
      <c r="F44" s="13"/>
      <c r="G44" s="13"/>
      <c r="H44" s="13"/>
      <c r="I44" s="13"/>
    </row>
    <row r="45" customFormat="false" ht="15" hidden="false" customHeight="false" outlineLevel="0" collapsed="false">
      <c r="A45" s="11" t="str">
        <f aca="false">IF(B45="","",ROW()-6)</f>
        <v/>
      </c>
      <c r="B45" s="12"/>
      <c r="C45" s="11"/>
      <c r="D45" s="11"/>
      <c r="E45" s="11"/>
      <c r="F45" s="11"/>
      <c r="G45" s="11"/>
      <c r="H45" s="11"/>
      <c r="I45" s="11"/>
    </row>
    <row r="46" customFormat="false" ht="15" hidden="false" customHeight="false" outlineLevel="0" collapsed="false">
      <c r="A46" s="13" t="str">
        <f aca="false">IF(B46="","",ROW()-6)</f>
        <v/>
      </c>
      <c r="B46" s="14"/>
      <c r="C46" s="13"/>
      <c r="D46" s="13"/>
      <c r="E46" s="13"/>
      <c r="F46" s="13"/>
      <c r="G46" s="13"/>
      <c r="H46" s="13"/>
      <c r="I46" s="13"/>
    </row>
    <row r="47" customFormat="false" ht="15" hidden="false" customHeight="false" outlineLevel="0" collapsed="false">
      <c r="A47" s="11" t="str">
        <f aca="false">IF(B47="","",ROW()-6)</f>
        <v/>
      </c>
      <c r="B47" s="12"/>
      <c r="C47" s="11"/>
      <c r="D47" s="11"/>
      <c r="E47" s="11"/>
      <c r="F47" s="11"/>
      <c r="G47" s="11"/>
      <c r="H47" s="11"/>
      <c r="I47" s="11"/>
    </row>
    <row r="48" customFormat="false" ht="15" hidden="false" customHeight="false" outlineLevel="0" collapsed="false">
      <c r="A48" s="13" t="str">
        <f aca="false">IF(B48="","",ROW()-6)</f>
        <v/>
      </c>
      <c r="B48" s="14"/>
      <c r="C48" s="13"/>
      <c r="D48" s="13"/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1" t="str">
        <f aca="false">IF(B49="","",ROW()-6)</f>
        <v/>
      </c>
      <c r="B49" s="12"/>
      <c r="C49" s="11"/>
      <c r="D49" s="11"/>
      <c r="E49" s="11"/>
      <c r="F49" s="11"/>
      <c r="G49" s="11"/>
      <c r="H49" s="11"/>
      <c r="I49" s="11"/>
    </row>
    <row r="50" customFormat="false" ht="15" hidden="false" customHeight="false" outlineLevel="0" collapsed="false">
      <c r="A50" s="13" t="str">
        <f aca="false">IF(B50="","",ROW()-6)</f>
        <v/>
      </c>
      <c r="B50" s="14"/>
      <c r="C50" s="13"/>
      <c r="D50" s="13"/>
      <c r="E50" s="13"/>
      <c r="F50" s="13"/>
      <c r="G50" s="13"/>
      <c r="H50" s="13"/>
      <c r="I50" s="13"/>
    </row>
    <row r="51" customFormat="false" ht="15" hidden="false" customHeight="false" outlineLevel="0" collapsed="false">
      <c r="A51" s="11" t="str">
        <f aca="false">IF(B51="","",ROW()-6)</f>
        <v/>
      </c>
      <c r="B51" s="12"/>
      <c r="C51" s="11"/>
      <c r="D51" s="11"/>
      <c r="E51" s="11"/>
      <c r="F51" s="11"/>
      <c r="G51" s="11"/>
      <c r="H51" s="11"/>
      <c r="I51" s="11"/>
    </row>
    <row r="52" customFormat="false" ht="15" hidden="false" customHeight="false" outlineLevel="0" collapsed="false">
      <c r="A52" s="13" t="str">
        <f aca="false">IF(B52="","",ROW()-6)</f>
        <v/>
      </c>
      <c r="B52" s="14"/>
      <c r="C52" s="13"/>
      <c r="D52" s="13"/>
      <c r="E52" s="13"/>
      <c r="F52" s="13"/>
      <c r="G52" s="13"/>
      <c r="H52" s="13"/>
      <c r="I52" s="13"/>
    </row>
    <row r="53" customFormat="false" ht="15" hidden="false" customHeight="false" outlineLevel="0" collapsed="false">
      <c r="A53" s="11" t="str">
        <f aca="false">IF(B53="","",ROW()-6)</f>
        <v/>
      </c>
      <c r="B53" s="12"/>
      <c r="C53" s="11"/>
      <c r="D53" s="11"/>
      <c r="E53" s="11"/>
      <c r="F53" s="11"/>
      <c r="G53" s="11"/>
      <c r="H53" s="11"/>
      <c r="I53" s="11"/>
    </row>
    <row r="54" customFormat="false" ht="15" hidden="false" customHeight="false" outlineLevel="0" collapsed="false">
      <c r="A54" s="13" t="str">
        <f aca="false">IF(B54="","",ROW()-6)</f>
        <v/>
      </c>
      <c r="B54" s="14"/>
      <c r="C54" s="13"/>
      <c r="D54" s="13"/>
      <c r="E54" s="13"/>
      <c r="F54" s="13"/>
      <c r="G54" s="13"/>
      <c r="H54" s="13"/>
      <c r="I54" s="13"/>
    </row>
    <row r="55" customFormat="false" ht="15" hidden="false" customHeight="false" outlineLevel="0" collapsed="false">
      <c r="A55" s="11" t="str">
        <f aca="false">IF(B55="","",ROW()-6)</f>
        <v/>
      </c>
      <c r="B55" s="12"/>
      <c r="C55" s="11"/>
      <c r="D55" s="11"/>
      <c r="E55" s="11"/>
      <c r="F55" s="11"/>
      <c r="G55" s="11"/>
      <c r="H55" s="11"/>
      <c r="I55" s="11"/>
    </row>
    <row r="56" customFormat="false" ht="15" hidden="false" customHeight="false" outlineLevel="0" collapsed="false">
      <c r="A56" s="13" t="str">
        <f aca="false">IF(B56="","",ROW()-6)</f>
        <v/>
      </c>
      <c r="B56" s="14"/>
      <c r="C56" s="13"/>
      <c r="D56" s="13"/>
      <c r="E56" s="13"/>
      <c r="F56" s="13"/>
      <c r="G56" s="13"/>
      <c r="H56" s="13"/>
      <c r="I56" s="13"/>
    </row>
  </sheetData>
  <dataValidations count="3">
    <dataValidation allowBlank="true" errorStyle="stop" operator="between" showDropDown="false" showErrorMessage="false" showInputMessage="false" sqref="C7:C56" type="list">
      <formula1>"WhatsApp,Facebook,Instagram,Correo institucional,Correo externo,Emisora o medio local,Cartel con QR,Otro"</formula1>
      <formula2>0</formula2>
    </dataValidation>
    <dataValidation allowBlank="true" errorStyle="stop" operator="between" showDropDown="false" showErrorMessage="false" showInputMessage="false" sqref="F7:F56" type="list">
      <formula1>"Ibagué,Coello,Cajamarca,Calarcá,Varios"</formula1>
      <formula2>0</formula2>
    </dataValidation>
    <dataValidation allowBlank="true" errorStyle="stop" operator="between" showDropDown="false" showErrorMessage="false" showInputMessage="false" sqref="E7:E56" type="list">
      <formula1>"Transportadores de carga,Conductores de pasajeros,Conductores particulares,Habitantes,Comunidad universitaria,Mixto"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20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10"/>
    <col collapsed="false" customWidth="true" hidden="false" outlineLevel="0" max="19" min="18" style="0" width="16"/>
    <col collapsed="false" customWidth="true" hidden="false" outlineLevel="0" max="20" min="20" style="0" width="30"/>
  </cols>
  <sheetData>
    <row r="1" customFormat="false" ht="42" hidden="false" customHeight="true" outlineLevel="0" collapsed="false"/>
    <row r="2" customFormat="false" ht="9.75" hidden="false" customHeight="true" outlineLevel="0" collapsed="false"/>
    <row r="3" customFormat="false" ht="18.55" hidden="false" customHeight="false" outlineLevel="0" collapsed="false">
      <c r="A3" s="1" t="s">
        <v>43</v>
      </c>
    </row>
    <row r="4" customFormat="false" ht="15" hidden="false" customHeight="false" outlineLevel="0" collapsed="false">
      <c r="A4" s="2" t="s">
        <v>44</v>
      </c>
    </row>
    <row r="6" customFormat="false" ht="31.5" hidden="false" customHeight="true" outlineLevel="0" collapsed="false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  <c r="I6" s="10" t="s">
        <v>53</v>
      </c>
      <c r="J6" s="10" t="s">
        <v>54</v>
      </c>
      <c r="K6" s="10" t="s">
        <v>55</v>
      </c>
      <c r="L6" s="10" t="s">
        <v>56</v>
      </c>
      <c r="M6" s="10" t="s">
        <v>57</v>
      </c>
      <c r="N6" s="10" t="s">
        <v>58</v>
      </c>
      <c r="O6" s="10" t="s">
        <v>59</v>
      </c>
      <c r="P6" s="10" t="s">
        <v>60</v>
      </c>
      <c r="Q6" s="10" t="s">
        <v>61</v>
      </c>
      <c r="R6" s="10" t="s">
        <v>62</v>
      </c>
      <c r="S6" s="10" t="s">
        <v>63</v>
      </c>
      <c r="T6" s="10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42" hidden="false" customHeight="true" outlineLevel="0" collapsed="false"/>
    <row r="2" customFormat="false" ht="9.75" hidden="false" customHeight="true" outlineLevel="0" collapsed="false"/>
    <row r="3" customFormat="false" ht="18.55" hidden="false" customHeight="false" outlineLevel="0" collapsed="false">
      <c r="A3" s="1" t="s">
        <v>65</v>
      </c>
    </row>
    <row r="4" customFormat="false" ht="15" hidden="false" customHeight="false" outlineLevel="0" collapsed="false">
      <c r="A4" s="2" t="s">
        <v>66</v>
      </c>
    </row>
    <row r="6" customFormat="false" ht="15" hidden="false" customHeight="false" outlineLevel="0" collapsed="false">
      <c r="A6" s="15" t="s">
        <v>67</v>
      </c>
      <c r="C6" s="16"/>
    </row>
    <row r="8" customFormat="false" ht="15" hidden="false" customHeight="false" outlineLevel="0" collapsed="false">
      <c r="A8" s="17" t="s">
        <v>68</v>
      </c>
    </row>
    <row r="9" customFormat="false" ht="15" hidden="false" customHeight="false" outlineLevel="0" collapsed="false">
      <c r="A9" s="11" t="s">
        <v>69</v>
      </c>
      <c r="B9" s="11"/>
      <c r="C9" s="11" t="n">
        <f aca="false">COUNTA(Respuestas!$A$7:$A$5000)</f>
        <v>0</v>
      </c>
    </row>
    <row r="10" customFormat="false" ht="15" hidden="false" customHeight="false" outlineLevel="0" collapsed="false">
      <c r="A10" s="11" t="s">
        <v>70</v>
      </c>
      <c r="B10" s="11"/>
      <c r="C10" s="11" t="n">
        <f aca="false">COUNTIF(Respuestas!$D$7:$D$5000,"borrador-geopav-2026-09")</f>
        <v>0</v>
      </c>
    </row>
    <row r="11" customFormat="false" ht="15" hidden="false" customHeight="false" outlineLevel="0" collapsed="false">
      <c r="A11" s="11" t="s">
        <v>71</v>
      </c>
      <c r="B11" s="11"/>
      <c r="C11" s="11" t="n">
        <f aca="false">C9-C10</f>
        <v>0</v>
      </c>
    </row>
    <row r="12" customFormat="false" ht="15" hidden="false" customHeight="false" outlineLevel="0" collapsed="false">
      <c r="A12" s="11" t="s">
        <v>72</v>
      </c>
      <c r="B12" s="11"/>
      <c r="C12" s="18" t="str">
        <f aca="false">IF(C9=0,"",AVERAGE(Respuestas!$I$7:$I$5000))</f>
        <v/>
      </c>
    </row>
    <row r="13" customFormat="false" ht="15" hidden="false" customHeight="false" outlineLevel="0" collapsed="false">
      <c r="A13" s="11" t="s">
        <v>73</v>
      </c>
      <c r="B13" s="11"/>
      <c r="C13" s="11" t="n">
        <f aca="false">COUNTA(Difusion!$B$7:$B$56)</f>
        <v>0</v>
      </c>
    </row>
    <row r="15" customFormat="false" ht="15" hidden="false" customHeight="false" outlineLevel="0" collapsed="false">
      <c r="A15" s="17" t="s">
        <v>74</v>
      </c>
    </row>
    <row r="16" customFormat="false" ht="15" hidden="false" customHeight="false" outlineLevel="0" collapsed="false">
      <c r="A16" s="19" t="s">
        <v>75</v>
      </c>
      <c r="B16" s="19" t="s">
        <v>76</v>
      </c>
      <c r="C16" s="19" t="s">
        <v>25</v>
      </c>
      <c r="D16" s="19" t="s">
        <v>77</v>
      </c>
    </row>
    <row r="17" customFormat="false" ht="15" hidden="false" customHeight="false" outlineLevel="0" collapsed="false">
      <c r="A17" s="11" t="s">
        <v>78</v>
      </c>
      <c r="B17" s="11" t="s">
        <v>79</v>
      </c>
      <c r="C17" s="11" t="n">
        <f aca="false">COUNTIF(Respuestas!$E$7:$E$5000,B17)</f>
        <v>0</v>
      </c>
      <c r="D17" s="20" t="n">
        <f aca="false">IF($C$9=0,0,C17/$C$9)</f>
        <v>0</v>
      </c>
    </row>
    <row r="18" customFormat="false" ht="15" hidden="false" customHeight="false" outlineLevel="0" collapsed="false">
      <c r="A18" s="11" t="s">
        <v>80</v>
      </c>
      <c r="B18" s="11" t="s">
        <v>81</v>
      </c>
      <c r="C18" s="11" t="n">
        <f aca="false">COUNTIF(Respuestas!$E$7:$E$5000,B18)</f>
        <v>0</v>
      </c>
      <c r="D18" s="20" t="n">
        <f aca="false">IF($C$9=0,0,C18/$C$9)</f>
        <v>0</v>
      </c>
    </row>
    <row r="19" customFormat="false" ht="15" hidden="false" customHeight="false" outlineLevel="0" collapsed="false">
      <c r="A19" s="11" t="s">
        <v>82</v>
      </c>
      <c r="B19" s="11" t="s">
        <v>83</v>
      </c>
      <c r="C19" s="11" t="n">
        <f aca="false">COUNTIF(Respuestas!$E$7:$E$5000,B19)</f>
        <v>0</v>
      </c>
      <c r="D19" s="20" t="n">
        <f aca="false">IF($C$9=0,0,C19/$C$9)</f>
        <v>0</v>
      </c>
    </row>
    <row r="20" customFormat="false" ht="15" hidden="false" customHeight="false" outlineLevel="0" collapsed="false">
      <c r="A20" s="11" t="s">
        <v>84</v>
      </c>
      <c r="B20" s="11" t="s">
        <v>85</v>
      </c>
      <c r="C20" s="11" t="n">
        <f aca="false">COUNTIF(Respuestas!$E$7:$E$5000,B20)</f>
        <v>0</v>
      </c>
      <c r="D20" s="20" t="n">
        <f aca="false">IF($C$9=0,0,C20/$C$9)</f>
        <v>0</v>
      </c>
    </row>
    <row r="21" customFormat="false" ht="15" hidden="false" customHeight="false" outlineLevel="0" collapsed="false">
      <c r="A21" s="11" t="s">
        <v>86</v>
      </c>
      <c r="B21" s="11" t="s">
        <v>87</v>
      </c>
      <c r="C21" s="11" t="n">
        <f aca="false">COUNTIF(Respuestas!$E$7:$E$5000,B21)</f>
        <v>0</v>
      </c>
      <c r="D21" s="20" t="n">
        <f aca="false">IF($C$9=0,0,C21/$C$9)</f>
        <v>0</v>
      </c>
    </row>
    <row r="23" customFormat="false" ht="15" hidden="false" customHeight="false" outlineLevel="0" collapsed="false">
      <c r="A23" s="17" t="s">
        <v>88</v>
      </c>
    </row>
    <row r="24" customFormat="false" ht="15" hidden="false" customHeight="false" outlineLevel="0" collapsed="false">
      <c r="A24" s="19" t="s">
        <v>89</v>
      </c>
      <c r="B24" s="19" t="s">
        <v>76</v>
      </c>
      <c r="C24" s="19" t="s">
        <v>25</v>
      </c>
      <c r="D24" s="19" t="s">
        <v>77</v>
      </c>
    </row>
    <row r="25" customFormat="false" ht="15" hidden="false" customHeight="false" outlineLevel="0" collapsed="false">
      <c r="A25" s="11" t="s">
        <v>90</v>
      </c>
      <c r="B25" s="11" t="s">
        <v>91</v>
      </c>
      <c r="C25" s="11" t="n">
        <f aca="false">COUNTIF(Respuestas!$F$7:$F$5000,B25)</f>
        <v>0</v>
      </c>
      <c r="D25" s="20" t="n">
        <f aca="false">IF($C$9=0,0,C25/$C$9)</f>
        <v>0</v>
      </c>
    </row>
    <row r="26" customFormat="false" ht="15" hidden="false" customHeight="false" outlineLevel="0" collapsed="false">
      <c r="A26" s="11" t="s">
        <v>92</v>
      </c>
      <c r="B26" s="11" t="s">
        <v>93</v>
      </c>
      <c r="C26" s="11" t="n">
        <f aca="false">COUNTIF(Respuestas!$F$7:$F$5000,B26)</f>
        <v>0</v>
      </c>
      <c r="D26" s="20" t="n">
        <f aca="false">IF($C$9=0,0,C26/$C$9)</f>
        <v>0</v>
      </c>
    </row>
    <row r="27" customFormat="false" ht="15" hidden="false" customHeight="false" outlineLevel="0" collapsed="false">
      <c r="A27" s="11" t="s">
        <v>94</v>
      </c>
      <c r="B27" s="11" t="s">
        <v>95</v>
      </c>
      <c r="C27" s="11" t="n">
        <f aca="false">COUNTIF(Respuestas!$F$7:$F$5000,B27)</f>
        <v>0</v>
      </c>
      <c r="D27" s="20" t="n">
        <f aca="false">IF($C$9=0,0,C27/$C$9)</f>
        <v>0</v>
      </c>
    </row>
    <row r="28" customFormat="false" ht="15" hidden="false" customHeight="false" outlineLevel="0" collapsed="false">
      <c r="A28" s="11" t="s">
        <v>96</v>
      </c>
      <c r="B28" s="11" t="s">
        <v>97</v>
      </c>
      <c r="C28" s="11" t="n">
        <f aca="false">COUNTIF(Respuestas!$F$7:$F$5000,B28)</f>
        <v>0</v>
      </c>
      <c r="D28" s="20" t="n">
        <f aca="false">IF($C$9=0,0,C28/$C$9)</f>
        <v>0</v>
      </c>
    </row>
    <row r="29" customFormat="false" ht="15" hidden="false" customHeight="false" outlineLevel="0" collapsed="false">
      <c r="A29" s="11" t="s">
        <v>98</v>
      </c>
      <c r="B29" s="11" t="s">
        <v>99</v>
      </c>
      <c r="C29" s="11" t="n">
        <f aca="false">COUNTIF(Respuestas!$F$7:$F$5000,B29)</f>
        <v>0</v>
      </c>
      <c r="D29" s="20" t="n">
        <f aca="false">IF($C$9=0,0,C29/$C$9)</f>
        <v>0</v>
      </c>
    </row>
    <row r="30" customFormat="false" ht="15" hidden="false" customHeight="false" outlineLevel="0" collapsed="false">
      <c r="A30" s="11" t="s">
        <v>100</v>
      </c>
      <c r="B30" s="11" t="s">
        <v>101</v>
      </c>
      <c r="C30" s="11" t="n">
        <f aca="false">COUNTIF(Respuestas!$F$7:$F$5000,B30)</f>
        <v>0</v>
      </c>
      <c r="D30" s="20" t="n">
        <f aca="false">IF($C$9=0,0,C30/$C$9)</f>
        <v>0</v>
      </c>
    </row>
    <row r="31" customFormat="false" ht="15" hidden="false" customHeight="false" outlineLevel="0" collapsed="false">
      <c r="A31" s="11" t="s">
        <v>102</v>
      </c>
      <c r="B31" s="11" t="s">
        <v>103</v>
      </c>
      <c r="C31" s="11" t="n">
        <f aca="false">COUNTIF(Respuestas!$F$7:$F$5000,B31)</f>
        <v>0</v>
      </c>
      <c r="D31" s="20" t="n">
        <f aca="false">IF($C$9=0,0,C31/$C$9)</f>
        <v>0</v>
      </c>
    </row>
    <row r="33" customFormat="false" ht="15" hidden="false" customHeight="false" outlineLevel="0" collapsed="false">
      <c r="A33" s="17" t="s">
        <v>104</v>
      </c>
    </row>
    <row r="34" customFormat="false" ht="15" hidden="false" customHeight="false" outlineLevel="0" collapsed="false">
      <c r="A34" s="19" t="s">
        <v>105</v>
      </c>
      <c r="B34" s="19" t="s">
        <v>76</v>
      </c>
      <c r="C34" s="19" t="s">
        <v>25</v>
      </c>
      <c r="D34" s="19" t="s">
        <v>77</v>
      </c>
    </row>
    <row r="35" customFormat="false" ht="15" hidden="false" customHeight="false" outlineLevel="0" collapsed="false">
      <c r="A35" s="11" t="s">
        <v>106</v>
      </c>
      <c r="B35" s="11" t="n">
        <v>1</v>
      </c>
      <c r="C35" s="11" t="n">
        <f aca="false">COUNTIF(Respuestas!$I$7:$I$5000,B35)</f>
        <v>0</v>
      </c>
      <c r="D35" s="20" t="n">
        <f aca="false">IF($C$9=0,0,C35/$C$9)</f>
        <v>0</v>
      </c>
    </row>
    <row r="36" customFormat="false" ht="15" hidden="false" customHeight="false" outlineLevel="0" collapsed="false">
      <c r="A36" s="11" t="s">
        <v>107</v>
      </c>
      <c r="B36" s="11" t="n">
        <v>2</v>
      </c>
      <c r="C36" s="11" t="n">
        <f aca="false">COUNTIF(Respuestas!$I$7:$I$5000,B36)</f>
        <v>0</v>
      </c>
      <c r="D36" s="20" t="n">
        <f aca="false">IF($C$9=0,0,C36/$C$9)</f>
        <v>0</v>
      </c>
    </row>
    <row r="37" customFormat="false" ht="15" hidden="false" customHeight="false" outlineLevel="0" collapsed="false">
      <c r="A37" s="11" t="s">
        <v>108</v>
      </c>
      <c r="B37" s="11" t="n">
        <v>3</v>
      </c>
      <c r="C37" s="11" t="n">
        <f aca="false">COUNTIF(Respuestas!$I$7:$I$5000,B37)</f>
        <v>0</v>
      </c>
      <c r="D37" s="20" t="n">
        <f aca="false">IF($C$9=0,0,C37/$C$9)</f>
        <v>0</v>
      </c>
    </row>
    <row r="38" customFormat="false" ht="15" hidden="false" customHeight="false" outlineLevel="0" collapsed="false">
      <c r="A38" s="11" t="s">
        <v>109</v>
      </c>
      <c r="B38" s="11" t="n">
        <v>4</v>
      </c>
      <c r="C38" s="11" t="n">
        <f aca="false">COUNTIF(Respuestas!$I$7:$I$5000,B38)</f>
        <v>0</v>
      </c>
      <c r="D38" s="20" t="n">
        <f aca="false">IF($C$9=0,0,C38/$C$9)</f>
        <v>0</v>
      </c>
    </row>
    <row r="39" customFormat="false" ht="15" hidden="false" customHeight="false" outlineLevel="0" collapsed="false">
      <c r="A39" s="11" t="s">
        <v>110</v>
      </c>
      <c r="B39" s="11" t="n">
        <v>5</v>
      </c>
      <c r="C39" s="11" t="n">
        <f aca="false">COUNTIF(Respuestas!$I$7:$I$5000,B39)</f>
        <v>0</v>
      </c>
      <c r="D39" s="20" t="n">
        <f aca="false">IF($C$9=0,0,C39/$C$9)</f>
        <v>0</v>
      </c>
    </row>
    <row r="41" customFormat="false" ht="15" hidden="false" customHeight="false" outlineLevel="0" collapsed="false">
      <c r="A41" s="9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0"/>
  </cols>
  <sheetData>
    <row r="1" customFormat="false" ht="42" hidden="false" customHeight="true" outlineLevel="0" collapsed="false"/>
    <row r="2" customFormat="false" ht="9.75" hidden="false" customHeight="true" outlineLevel="0" collapsed="false"/>
    <row r="3" customFormat="false" ht="18.55" hidden="false" customHeight="false" outlineLevel="0" collapsed="false">
      <c r="A3" s="1" t="s">
        <v>30</v>
      </c>
    </row>
    <row r="4" customFormat="false" ht="15" hidden="false" customHeight="false" outlineLevel="0" collapsed="false">
      <c r="A4" s="2"/>
    </row>
    <row r="6" customFormat="false" ht="31.5" hidden="false" customHeight="true" outlineLevel="0" collapsed="false">
      <c r="A6" s="10" t="s">
        <v>112</v>
      </c>
      <c r="B6" s="10" t="s">
        <v>113</v>
      </c>
    </row>
    <row r="7" customFormat="false" ht="31.5" hidden="false" customHeight="true" outlineLevel="0" collapsed="false">
      <c r="A7" s="11" t="n">
        <v>1</v>
      </c>
      <c r="B7" s="21" t="s">
        <v>114</v>
      </c>
    </row>
    <row r="8" customFormat="false" ht="31.5" hidden="false" customHeight="true" outlineLevel="0" collapsed="false">
      <c r="A8" s="11" t="n">
        <v>2</v>
      </c>
      <c r="B8" s="21" t="s">
        <v>115</v>
      </c>
    </row>
    <row r="9" customFormat="false" ht="31.5" hidden="false" customHeight="true" outlineLevel="0" collapsed="false">
      <c r="A9" s="11" t="n">
        <v>3</v>
      </c>
      <c r="B9" s="21" t="s">
        <v>116</v>
      </c>
    </row>
    <row r="10" customFormat="false" ht="31.5" hidden="false" customHeight="true" outlineLevel="0" collapsed="false">
      <c r="A10" s="11" t="n">
        <v>4</v>
      </c>
      <c r="B10" s="21" t="s">
        <v>117</v>
      </c>
    </row>
    <row r="11" customFormat="false" ht="31.5" hidden="false" customHeight="true" outlineLevel="0" collapsed="false">
      <c r="A11" s="11" t="n">
        <v>5</v>
      </c>
      <c r="B11" s="21" t="s">
        <v>118</v>
      </c>
    </row>
    <row r="12" customFormat="false" ht="31.5" hidden="false" customHeight="true" outlineLevel="0" collapsed="false">
      <c r="A12" s="11" t="n">
        <v>6</v>
      </c>
      <c r="B12" s="21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2026-09-16T16:23:22Z</dcterms:created>
  <dc:creator>openpyxl</dc:creator>
  <dc:description/>
  <dc:language>en-US</dc:language>
  <cp:lastModifiedBy/>
  <dcterms:modified xsi:type="dcterms:W3CDTF">2026-09-16T16:23:22Z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